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zc51044\Downloads\"/>
    </mc:Choice>
  </mc:AlternateContent>
  <xr:revisionPtr revIDLastSave="0" documentId="13_ncr:1_{6DD0EDE4-0905-43E3-BCA3-D17C6C546FB2}" xr6:coauthVersionLast="47" xr6:coauthVersionMax="47" xr10:uidLastSave="{00000000-0000-0000-0000-000000000000}"/>
  <bookViews>
    <workbookView xWindow="-110" yWindow="-110" windowWidth="19420" windowHeight="11500" tabRatio="794" firstSheet="1" activeTab="3" xr2:uid="{1834D25E-A36F-4FEF-8E7E-CDE1D799D44A}"/>
  </bookViews>
  <sheets>
    <sheet name="FILL IN" sheetId="5" state="hidden" r:id="rId1"/>
    <sheet name="planning" sheetId="6" r:id="rId2"/>
    <sheet name="Revised Volume" sheetId="8" r:id="rId3"/>
    <sheet name="Name SPLIT" sheetId="3" r:id="rId4"/>
    <sheet name="Sheet1" sheetId="9" r:id="rId5"/>
    <sheet name="By Region" sheetId="2" r:id="rId6"/>
    <sheet name="By RDC" sheetId="4" state="hidden" r:id="rId7"/>
    <sheet name="General and Northern Names 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5" i="3" l="1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4" i="3"/>
  <c r="Q57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4" i="3"/>
  <c r="Q5" i="8"/>
  <c r="Q6" i="8"/>
  <c r="O8" i="8"/>
  <c r="P8" i="8"/>
  <c r="N8" i="8"/>
  <c r="O4" i="8"/>
  <c r="P4" i="8"/>
  <c r="N4" i="8"/>
  <c r="Q4" i="8" s="1"/>
  <c r="Q8" i="8" l="1"/>
  <c r="G6" i="8"/>
  <c r="H6" i="8"/>
  <c r="F6" i="8"/>
  <c r="P10" i="8"/>
  <c r="O10" i="8"/>
  <c r="N10" i="8"/>
  <c r="P9" i="8"/>
  <c r="O9" i="8"/>
  <c r="N9" i="8"/>
  <c r="Q9" i="8" s="1"/>
  <c r="M8" i="8"/>
  <c r="M6" i="8"/>
  <c r="M5" i="8"/>
  <c r="Y29" i="6" s="1"/>
  <c r="M4" i="8"/>
  <c r="M10" i="8" l="1"/>
  <c r="Q10" i="8"/>
  <c r="M9" i="8"/>
  <c r="W12" i="6"/>
  <c r="X12" i="6"/>
  <c r="V12" i="6"/>
  <c r="AC13" i="6"/>
  <c r="AD13" i="6"/>
  <c r="AB13" i="6"/>
  <c r="AC12" i="6"/>
  <c r="AD12" i="6"/>
  <c r="AB12" i="6"/>
  <c r="AC11" i="6"/>
  <c r="AD11" i="6"/>
  <c r="AB11" i="6"/>
  <c r="X56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" i="3"/>
  <c r="G12" i="8" l="1"/>
  <c r="H12" i="8"/>
  <c r="F12" i="8"/>
  <c r="K5" i="6"/>
  <c r="J5" i="6"/>
  <c r="F13" i="8"/>
  <c r="E11" i="8"/>
  <c r="I11" i="8"/>
  <c r="E4" i="8"/>
  <c r="H8" i="8"/>
  <c r="G8" i="8"/>
  <c r="F8" i="8"/>
  <c r="H7" i="8"/>
  <c r="G7" i="8"/>
  <c r="F7" i="8"/>
  <c r="I6" i="8"/>
  <c r="E6" i="8"/>
  <c r="I5" i="8"/>
  <c r="E5" i="8"/>
  <c r="I4" i="8"/>
  <c r="J4" i="2" l="1"/>
  <c r="N12" i="8"/>
  <c r="H13" i="8"/>
  <c r="P12" i="8"/>
  <c r="G13" i="8"/>
  <c r="O12" i="8"/>
  <c r="L4" i="2"/>
  <c r="K4" i="2"/>
  <c r="E12" i="8"/>
  <c r="E13" i="8" s="1"/>
  <c r="L5" i="6"/>
  <c r="I12" i="8"/>
  <c r="I13" i="8" s="1"/>
  <c r="M5" i="6"/>
  <c r="I8" i="8"/>
  <c r="E8" i="8"/>
  <c r="E7" i="8"/>
  <c r="I7" i="8"/>
  <c r="O14" i="8" l="1"/>
  <c r="O13" i="8"/>
  <c r="P13" i="8"/>
  <c r="P14" i="8"/>
  <c r="M12" i="8"/>
  <c r="N13" i="8"/>
  <c r="Q12" i="8"/>
  <c r="N14" i="8"/>
  <c r="V15" i="6"/>
  <c r="W15" i="6"/>
  <c r="X15" i="6"/>
  <c r="V14" i="6"/>
  <c r="W14" i="6"/>
  <c r="X14" i="6"/>
  <c r="U13" i="6"/>
  <c r="U12" i="6"/>
  <c r="U15" i="6" s="1"/>
  <c r="Y13" i="6"/>
  <c r="Y12" i="6"/>
  <c r="Y14" i="6" s="1"/>
  <c r="I14" i="6"/>
  <c r="J14" i="6" s="1"/>
  <c r="I13" i="6"/>
  <c r="L13" i="6" s="1"/>
  <c r="I12" i="6"/>
  <c r="J12" i="6" s="1"/>
  <c r="I11" i="6"/>
  <c r="L11" i="6" s="1"/>
  <c r="L10" i="6"/>
  <c r="K10" i="6"/>
  <c r="I10" i="6"/>
  <c r="I8" i="6"/>
  <c r="L8" i="6" s="1"/>
  <c r="L9" i="6" s="1"/>
  <c r="L7" i="6"/>
  <c r="K7" i="6"/>
  <c r="J7" i="6"/>
  <c r="I7" i="6"/>
  <c r="L14" i="6"/>
  <c r="K12" i="6"/>
  <c r="AE4" i="6"/>
  <c r="AD5" i="6" s="1"/>
  <c r="AD6" i="6" s="1"/>
  <c r="S4" i="6"/>
  <c r="P5" i="6" s="1"/>
  <c r="P6" i="6" s="1"/>
  <c r="M4" i="6"/>
  <c r="Q13" i="8" l="1"/>
  <c r="M14" i="8"/>
  <c r="Q14" i="8"/>
  <c r="M7" i="6"/>
  <c r="U14" i="6"/>
  <c r="Y15" i="6"/>
  <c r="M12" i="6"/>
  <c r="AD8" i="6"/>
  <c r="AD7" i="6"/>
  <c r="Q5" i="6"/>
  <c r="Q6" i="6" s="1"/>
  <c r="R5" i="6"/>
  <c r="R6" i="6" s="1"/>
  <c r="J8" i="6"/>
  <c r="J9" i="6" s="1"/>
  <c r="J13" i="6"/>
  <c r="K8" i="6"/>
  <c r="K9" i="6" s="1"/>
  <c r="K13" i="6"/>
  <c r="K11" i="6"/>
  <c r="J10" i="6"/>
  <c r="M10" i="6" s="1"/>
  <c r="L12" i="6"/>
  <c r="J11" i="6"/>
  <c r="AB5" i="6"/>
  <c r="AC5" i="6"/>
  <c r="AC6" i="6" s="1"/>
  <c r="K14" i="6"/>
  <c r="M14" i="6" s="1"/>
  <c r="AE4" i="2"/>
  <c r="AC5" i="2" s="1"/>
  <c r="AC6" i="2" s="1"/>
  <c r="AC8" i="2" s="1"/>
  <c r="Y4" i="2"/>
  <c r="V5" i="2" s="1"/>
  <c r="S4" i="2"/>
  <c r="Q5" i="2" s="1"/>
  <c r="Q6" i="2" s="1"/>
  <c r="V6" i="2" l="1"/>
  <c r="X5" i="2"/>
  <c r="X6" i="2" s="1"/>
  <c r="X8" i="2" s="1"/>
  <c r="W5" i="2"/>
  <c r="W6" i="2" s="1"/>
  <c r="W8" i="2" s="1"/>
  <c r="Q8" i="2"/>
  <c r="M11" i="6"/>
  <c r="M9" i="6"/>
  <c r="M8" i="6" s="1"/>
  <c r="M13" i="6"/>
  <c r="R8" i="6"/>
  <c r="R7" i="6"/>
  <c r="P8" i="6"/>
  <c r="P7" i="6"/>
  <c r="S6" i="6"/>
  <c r="S8" i="6" s="1"/>
  <c r="AC7" i="6"/>
  <c r="AC8" i="6"/>
  <c r="AE5" i="6"/>
  <c r="AB6" i="6"/>
  <c r="Q8" i="6"/>
  <c r="Q7" i="6"/>
  <c r="S5" i="6"/>
  <c r="AB5" i="2"/>
  <c r="AB6" i="2" s="1"/>
  <c r="AB8" i="2" s="1"/>
  <c r="AD5" i="2"/>
  <c r="AD6" i="2" s="1"/>
  <c r="AD8" i="2"/>
  <c r="AD7" i="2"/>
  <c r="AC7" i="2"/>
  <c r="V8" i="2"/>
  <c r="Y6" i="2"/>
  <c r="Y8" i="2" s="1"/>
  <c r="V7" i="2"/>
  <c r="W7" i="2"/>
  <c r="X7" i="2"/>
  <c r="Q7" i="2"/>
  <c r="P5" i="2"/>
  <c r="P6" i="2" s="1"/>
  <c r="R5" i="2"/>
  <c r="R6" i="2" s="1"/>
  <c r="AE3" i="3"/>
  <c r="AB7" i="2" l="1"/>
  <c r="AE6" i="2"/>
  <c r="AE8" i="2" s="1"/>
  <c r="AE5" i="2"/>
  <c r="Y5" i="2"/>
  <c r="AB7" i="6"/>
  <c r="AE6" i="6"/>
  <c r="AE8" i="6" s="1"/>
  <c r="AB8" i="6"/>
  <c r="R8" i="2"/>
  <c r="R7" i="2"/>
  <c r="P7" i="2"/>
  <c r="P8" i="2"/>
  <c r="S6" i="2"/>
  <c r="S8" i="2" s="1"/>
  <c r="S5" i="2"/>
  <c r="AS3" i="3"/>
  <c r="T3" i="3"/>
  <c r="AV3" i="3"/>
  <c r="AO3" i="3"/>
  <c r="AH3" i="3"/>
  <c r="AI59" i="5"/>
  <c r="AG59" i="5"/>
  <c r="AD59" i="5"/>
  <c r="AB59" i="5"/>
  <c r="Y59" i="5"/>
  <c r="W59" i="5"/>
  <c r="T59" i="5"/>
  <c r="R59" i="5"/>
  <c r="O59" i="5"/>
  <c r="M59" i="5"/>
  <c r="J59" i="5"/>
  <c r="H59" i="5"/>
  <c r="X3" i="3" l="1"/>
  <c r="AA3" i="3"/>
  <c r="I13" i="2"/>
  <c r="I7" i="2"/>
  <c r="I9" i="2"/>
  <c r="I10" i="2"/>
  <c r="I11" i="2"/>
  <c r="I12" i="2"/>
  <c r="I6" i="2"/>
  <c r="E59" i="5" l="1"/>
  <c r="C59" i="5"/>
  <c r="J13" i="2"/>
  <c r="K10" i="2"/>
  <c r="L6" i="2"/>
  <c r="L9" i="2"/>
  <c r="L7" i="2"/>
  <c r="L8" i="2" s="1"/>
  <c r="L11" i="2"/>
  <c r="L12" i="2"/>
  <c r="L10" i="2"/>
  <c r="L13" i="2"/>
  <c r="J12" i="2"/>
  <c r="J9" i="2"/>
  <c r="J6" i="2"/>
  <c r="J11" i="2"/>
  <c r="J7" i="2"/>
  <c r="J10" i="2"/>
  <c r="J8" i="2" l="1"/>
  <c r="K6" i="2"/>
  <c r="M6" i="2" s="1"/>
  <c r="K9" i="2"/>
  <c r="M9" i="2" s="1"/>
  <c r="K7" i="2"/>
  <c r="K8" i="2" s="1"/>
  <c r="K13" i="2"/>
  <c r="M13" i="2" s="1"/>
  <c r="K11" i="2"/>
  <c r="M11" i="2" s="1"/>
  <c r="K12" i="2"/>
  <c r="M12" i="2" s="1"/>
  <c r="M4" i="2"/>
  <c r="M10" i="2"/>
  <c r="C14" i="4" l="1"/>
  <c r="C6" i="4"/>
  <c r="C10" i="4"/>
  <c r="AP1" i="3"/>
  <c r="C13" i="4"/>
  <c r="AB1" i="3"/>
  <c r="Y56" i="3" s="1"/>
  <c r="AI1" i="3"/>
  <c r="AF54" i="3" s="1"/>
  <c r="C12" i="4"/>
  <c r="G1" i="3"/>
  <c r="C4" i="4"/>
  <c r="N1" i="3"/>
  <c r="K3" i="3" s="1"/>
  <c r="K6" i="3" s="1"/>
  <c r="C8" i="4"/>
  <c r="M8" i="2"/>
  <c r="AW1" i="3" s="1"/>
  <c r="K54" i="3" l="1"/>
  <c r="K56" i="3"/>
  <c r="K55" i="3"/>
  <c r="C15" i="4"/>
  <c r="AT5" i="3"/>
  <c r="AT17" i="3"/>
  <c r="AT29" i="3"/>
  <c r="AT41" i="3"/>
  <c r="AT53" i="3"/>
  <c r="AW6" i="3"/>
  <c r="AW17" i="3"/>
  <c r="AW27" i="3"/>
  <c r="AW33" i="3"/>
  <c r="AT21" i="3"/>
  <c r="AT46" i="3"/>
  <c r="AW22" i="3"/>
  <c r="AW37" i="3"/>
  <c r="AT11" i="3"/>
  <c r="AT47" i="3"/>
  <c r="AW23" i="3"/>
  <c r="AW38" i="3"/>
  <c r="AT12" i="3"/>
  <c r="AT36" i="3"/>
  <c r="AW13" i="3"/>
  <c r="AT38" i="3"/>
  <c r="AW14" i="3"/>
  <c r="AT39" i="3"/>
  <c r="AT16" i="3"/>
  <c r="AT40" i="3"/>
  <c r="AW26" i="3"/>
  <c r="AT6" i="3"/>
  <c r="AT18" i="3"/>
  <c r="AT30" i="3"/>
  <c r="AT42" i="3"/>
  <c r="AT54" i="3"/>
  <c r="AW18" i="3"/>
  <c r="AW28" i="3"/>
  <c r="AW34" i="3"/>
  <c r="AT45" i="3"/>
  <c r="AT34" i="3"/>
  <c r="AW30" i="3"/>
  <c r="AT23" i="3"/>
  <c r="AW11" i="3"/>
  <c r="AW31" i="3"/>
  <c r="AW32" i="3"/>
  <c r="AT14" i="3"/>
  <c r="AT15" i="3"/>
  <c r="AT28" i="3"/>
  <c r="AW5" i="3"/>
  <c r="AT7" i="3"/>
  <c r="AT19" i="3"/>
  <c r="AT31" i="3"/>
  <c r="AT43" i="3"/>
  <c r="AT55" i="3"/>
  <c r="AW7" i="3"/>
  <c r="AW19" i="3"/>
  <c r="AW29" i="3"/>
  <c r="AT8" i="3"/>
  <c r="AT20" i="3"/>
  <c r="AT32" i="3"/>
  <c r="AT56" i="3"/>
  <c r="AW8" i="3"/>
  <c r="AW20" i="3"/>
  <c r="AW35" i="3"/>
  <c r="AT9" i="3"/>
  <c r="AT33" i="3"/>
  <c r="AW9" i="3"/>
  <c r="AW21" i="3"/>
  <c r="AW4" i="3"/>
  <c r="AT22" i="3"/>
  <c r="AT4" i="3"/>
  <c r="AT24" i="3"/>
  <c r="AT48" i="3"/>
  <c r="AW12" i="3"/>
  <c r="AW24" i="3"/>
  <c r="AT13" i="3"/>
  <c r="AT49" i="3"/>
  <c r="AW25" i="3"/>
  <c r="AT26" i="3"/>
  <c r="AT51" i="3"/>
  <c r="AW15" i="3"/>
  <c r="AW16" i="3"/>
  <c r="AT44" i="3"/>
  <c r="AW36" i="3"/>
  <c r="AT10" i="3"/>
  <c r="AW10" i="3"/>
  <c r="AT35" i="3"/>
  <c r="AT25" i="3"/>
  <c r="AT37" i="3"/>
  <c r="AT50" i="3"/>
  <c r="AT27" i="3"/>
  <c r="AT52" i="3"/>
  <c r="D3" i="3"/>
  <c r="D26" i="3" s="1"/>
  <c r="G3" i="3"/>
  <c r="AP12" i="3"/>
  <c r="AP9" i="3"/>
  <c r="AP32" i="3"/>
  <c r="AP4" i="3"/>
  <c r="AP22" i="3"/>
  <c r="AP41" i="3"/>
  <c r="AP29" i="3"/>
  <c r="AP45" i="3"/>
  <c r="AP31" i="3"/>
  <c r="AP10" i="3"/>
  <c r="AP33" i="3"/>
  <c r="AP17" i="3"/>
  <c r="AP21" i="3"/>
  <c r="AP30" i="3"/>
  <c r="AP48" i="3"/>
  <c r="AP11" i="3"/>
  <c r="AP16" i="3"/>
  <c r="AP39" i="3"/>
  <c r="AP23" i="3"/>
  <c r="AP5" i="3"/>
  <c r="AP7" i="3"/>
  <c r="AP8" i="3"/>
  <c r="AP40" i="3"/>
  <c r="AP28" i="3"/>
  <c r="AP6" i="3"/>
  <c r="AP42" i="3"/>
  <c r="AP24" i="3"/>
  <c r="AP26" i="3"/>
  <c r="AP35" i="3"/>
  <c r="AP27" i="3"/>
  <c r="AP15" i="3"/>
  <c r="AP20" i="3"/>
  <c r="AP36" i="3"/>
  <c r="AP46" i="3"/>
  <c r="AP34" i="3"/>
  <c r="AP18" i="3"/>
  <c r="AP47" i="3"/>
  <c r="AP44" i="3"/>
  <c r="AP25" i="3"/>
  <c r="AP13" i="3"/>
  <c r="AP19" i="3"/>
  <c r="AP38" i="3"/>
  <c r="AP37" i="3"/>
  <c r="AP43" i="3"/>
  <c r="AP14" i="3"/>
  <c r="N3" i="3"/>
  <c r="M7" i="2"/>
  <c r="AB4" i="3"/>
  <c r="AB11" i="3"/>
  <c r="Y15" i="3"/>
  <c r="AB12" i="3"/>
  <c r="Y47" i="3"/>
  <c r="Y45" i="3"/>
  <c r="AB7" i="3"/>
  <c r="Y40" i="3"/>
  <c r="Y41" i="3"/>
  <c r="Y9" i="3"/>
  <c r="Y27" i="3"/>
  <c r="AB8" i="3"/>
  <c r="Y49" i="3"/>
  <c r="Y33" i="3"/>
  <c r="Y10" i="3"/>
  <c r="Y44" i="3"/>
  <c r="Y25" i="3"/>
  <c r="AB19" i="3"/>
  <c r="AB6" i="3"/>
  <c r="AB17" i="3"/>
  <c r="Y42" i="3"/>
  <c r="Y34" i="3"/>
  <c r="Y32" i="3"/>
  <c r="Y54" i="3"/>
  <c r="Y14" i="3"/>
  <c r="Y29" i="3"/>
  <c r="Y13" i="3"/>
  <c r="AB5" i="3"/>
  <c r="Y39" i="3"/>
  <c r="Y36" i="3"/>
  <c r="Y51" i="3"/>
  <c r="Y23" i="3"/>
  <c r="Y20" i="3"/>
  <c r="Y24" i="3"/>
  <c r="AB10" i="3"/>
  <c r="Y7" i="3"/>
  <c r="Y11" i="3"/>
  <c r="Y48" i="3"/>
  <c r="Y28" i="3"/>
  <c r="AB14" i="3"/>
  <c r="Y55" i="3"/>
  <c r="Y43" i="3"/>
  <c r="AB20" i="3"/>
  <c r="Y30" i="3"/>
  <c r="Y21" i="3"/>
  <c r="Y19" i="3"/>
  <c r="AB9" i="3"/>
  <c r="AB22" i="3"/>
  <c r="Y17" i="3"/>
  <c r="Y18" i="3"/>
  <c r="Y8" i="3"/>
  <c r="Y6" i="3"/>
  <c r="Y26" i="3"/>
  <c r="Y5" i="3"/>
  <c r="AB23" i="3"/>
  <c r="AB16" i="3"/>
  <c r="AB21" i="3"/>
  <c r="Y35" i="3"/>
  <c r="Y46" i="3"/>
  <c r="Y50" i="3"/>
  <c r="AB24" i="3"/>
  <c r="Y37" i="3"/>
  <c r="AB15" i="3"/>
  <c r="Y4" i="3"/>
  <c r="Y53" i="3"/>
  <c r="Y52" i="3"/>
  <c r="Y22" i="3"/>
  <c r="AB13" i="3"/>
  <c r="Y31" i="3"/>
  <c r="Y38" i="3"/>
  <c r="AB18" i="3"/>
  <c r="Y12" i="3"/>
  <c r="Y16" i="3"/>
  <c r="C9" i="4"/>
  <c r="C11" i="4" s="1"/>
  <c r="AI16" i="3"/>
  <c r="AI4" i="3"/>
  <c r="AI17" i="3"/>
  <c r="AI6" i="3"/>
  <c r="AI18" i="3"/>
  <c r="AI19" i="3"/>
  <c r="AI20" i="3"/>
  <c r="AI10" i="3"/>
  <c r="AI22" i="3"/>
  <c r="AI14" i="3"/>
  <c r="AI15" i="3"/>
  <c r="AI7" i="3"/>
  <c r="AI8" i="3"/>
  <c r="AI9" i="3"/>
  <c r="AI21" i="3"/>
  <c r="AI11" i="3"/>
  <c r="AI12" i="3"/>
  <c r="AI13" i="3"/>
  <c r="AI23" i="3"/>
  <c r="AI24" i="3"/>
  <c r="AI5" i="3"/>
  <c r="AF56" i="3"/>
  <c r="AF55" i="3"/>
  <c r="AF53" i="3"/>
  <c r="AW3" i="3" l="1"/>
  <c r="U1" i="3"/>
  <c r="C5" i="4"/>
  <c r="C7" i="4" s="1"/>
  <c r="C16" i="4" s="1"/>
  <c r="G4" i="3"/>
  <c r="G14" i="3"/>
  <c r="G22" i="3"/>
  <c r="G29" i="3"/>
  <c r="G12" i="3"/>
  <c r="G5" i="3"/>
  <c r="G23" i="3"/>
  <c r="G10" i="3"/>
  <c r="G11" i="3"/>
  <c r="G6" i="3"/>
  <c r="G15" i="3"/>
  <c r="G17" i="3"/>
  <c r="G8" i="3"/>
  <c r="G27" i="3"/>
  <c r="G9" i="3"/>
  <c r="G16" i="3"/>
  <c r="G24" i="3"/>
  <c r="G7" i="3"/>
  <c r="G25" i="3"/>
  <c r="G18" i="3"/>
  <c r="G26" i="3"/>
  <c r="G19" i="3"/>
  <c r="G20" i="3"/>
  <c r="G28" i="3"/>
  <c r="G21" i="3"/>
  <c r="G13" i="3"/>
  <c r="AB3" i="3"/>
  <c r="K12" i="3"/>
  <c r="K24" i="3"/>
  <c r="K36" i="3"/>
  <c r="K44" i="3"/>
  <c r="K13" i="3"/>
  <c r="K25" i="3"/>
  <c r="K37" i="3"/>
  <c r="K45" i="3"/>
  <c r="K14" i="3"/>
  <c r="K26" i="3"/>
  <c r="K46" i="3"/>
  <c r="K27" i="3"/>
  <c r="K47" i="3"/>
  <c r="K28" i="3"/>
  <c r="K49" i="3"/>
  <c r="K5" i="3"/>
  <c r="K50" i="3"/>
  <c r="K39" i="3"/>
  <c r="K20" i="3"/>
  <c r="K52" i="3"/>
  <c r="K9" i="3"/>
  <c r="K41" i="3"/>
  <c r="K34" i="3"/>
  <c r="K35" i="3"/>
  <c r="K15" i="3"/>
  <c r="K16" i="3"/>
  <c r="K38" i="3"/>
  <c r="K29" i="3"/>
  <c r="K18" i="3"/>
  <c r="K31" i="3"/>
  <c r="K32" i="3"/>
  <c r="K33" i="3"/>
  <c r="K22" i="3"/>
  <c r="K4" i="3"/>
  <c r="K23" i="3"/>
  <c r="K8" i="3"/>
  <c r="K48" i="3"/>
  <c r="K17" i="3"/>
  <c r="K30" i="3"/>
  <c r="K19" i="3"/>
  <c r="K51" i="3"/>
  <c r="K7" i="3"/>
  <c r="K40" i="3"/>
  <c r="K21" i="3"/>
  <c r="K53" i="3"/>
  <c r="K10" i="3"/>
  <c r="K42" i="3"/>
  <c r="K11" i="3"/>
  <c r="K43" i="3"/>
  <c r="AT3" i="3"/>
  <c r="Y3" i="3"/>
  <c r="N4" i="3"/>
  <c r="N21" i="3"/>
  <c r="N12" i="3"/>
  <c r="N22" i="3"/>
  <c r="N13" i="3"/>
  <c r="N23" i="3"/>
  <c r="N5" i="3"/>
  <c r="N6" i="3"/>
  <c r="N9" i="3"/>
  <c r="N19" i="3"/>
  <c r="N20" i="3"/>
  <c r="N14" i="3"/>
  <c r="N15" i="3"/>
  <c r="N7" i="3"/>
  <c r="N17" i="3"/>
  <c r="N18" i="3"/>
  <c r="N16" i="3"/>
  <c r="N8" i="3"/>
  <c r="N10" i="3"/>
  <c r="N11" i="3"/>
  <c r="AP3" i="3"/>
  <c r="D7" i="3"/>
  <c r="D18" i="3"/>
  <c r="D30" i="3"/>
  <c r="D42" i="3"/>
  <c r="D54" i="3"/>
  <c r="D31" i="3"/>
  <c r="D43" i="3"/>
  <c r="D9" i="3"/>
  <c r="D32" i="3"/>
  <c r="D56" i="3"/>
  <c r="D10" i="3"/>
  <c r="D45" i="3"/>
  <c r="D22" i="3"/>
  <c r="D47" i="3"/>
  <c r="D36" i="3"/>
  <c r="D37" i="3"/>
  <c r="D39" i="3"/>
  <c r="D5" i="3"/>
  <c r="D40" i="3"/>
  <c r="D6" i="3"/>
  <c r="D41" i="3"/>
  <c r="D8" i="3"/>
  <c r="D19" i="3"/>
  <c r="D55" i="3"/>
  <c r="D20" i="3"/>
  <c r="D44" i="3"/>
  <c r="D21" i="3"/>
  <c r="D11" i="3"/>
  <c r="D46" i="3"/>
  <c r="D23" i="3"/>
  <c r="D12" i="3"/>
  <c r="D48" i="3"/>
  <c r="D25" i="3"/>
  <c r="D14" i="3"/>
  <c r="D50" i="3"/>
  <c r="D27" i="3"/>
  <c r="D16" i="3"/>
  <c r="D52" i="3"/>
  <c r="D29" i="3"/>
  <c r="D33" i="3"/>
  <c r="D34" i="3"/>
  <c r="D35" i="3"/>
  <c r="D24" i="3"/>
  <c r="D13" i="3"/>
  <c r="D49" i="3"/>
  <c r="D38" i="3"/>
  <c r="D15" i="3"/>
  <c r="D51" i="3"/>
  <c r="D28" i="3"/>
  <c r="D17" i="3"/>
  <c r="D53" i="3"/>
  <c r="AI3" i="3"/>
  <c r="AF52" i="3"/>
  <c r="N24" i="3" l="1"/>
  <c r="U26" i="3"/>
  <c r="U3" i="3"/>
  <c r="R3" i="3"/>
  <c r="K57" i="3"/>
  <c r="R13" i="3"/>
  <c r="R10" i="3"/>
  <c r="R32" i="3"/>
  <c r="R27" i="3"/>
  <c r="U13" i="3"/>
  <c r="R38" i="3"/>
  <c r="U16" i="3"/>
  <c r="U5" i="3"/>
  <c r="U9" i="3"/>
  <c r="R25" i="3"/>
  <c r="U31" i="3"/>
  <c r="U4" i="3"/>
  <c r="R36" i="3"/>
  <c r="U7" i="3"/>
  <c r="R53" i="3"/>
  <c r="U17" i="3"/>
  <c r="R41" i="3"/>
  <c r="U6" i="3"/>
  <c r="R31" i="3"/>
  <c r="R17" i="3"/>
  <c r="R49" i="3"/>
  <c r="R51" i="3"/>
  <c r="R19" i="3"/>
  <c r="R54" i="3"/>
  <c r="R5" i="3"/>
  <c r="U29" i="3"/>
  <c r="U30" i="3"/>
  <c r="R15" i="3"/>
  <c r="R56" i="3"/>
  <c r="R48" i="3"/>
  <c r="R35" i="3"/>
  <c r="U8" i="3"/>
  <c r="R44" i="3"/>
  <c r="R20" i="3"/>
  <c r="R29" i="3"/>
  <c r="R42" i="3"/>
  <c r="R47" i="3"/>
  <c r="U10" i="3"/>
  <c r="U25" i="3"/>
  <c r="U12" i="3"/>
  <c r="R4" i="3"/>
  <c r="R50" i="3"/>
  <c r="R33" i="3"/>
  <c r="R46" i="3"/>
  <c r="R8" i="3"/>
  <c r="R14" i="3"/>
  <c r="U15" i="3"/>
  <c r="R55" i="3"/>
  <c r="R39" i="3"/>
  <c r="U19" i="3"/>
  <c r="U18" i="3"/>
  <c r="U23" i="3"/>
  <c r="R12" i="3"/>
  <c r="R30" i="3"/>
  <c r="R28" i="3"/>
  <c r="U14" i="3"/>
  <c r="R18" i="3"/>
  <c r="R40" i="3"/>
  <c r="R23" i="3"/>
  <c r="R26" i="3"/>
  <c r="R21" i="3"/>
  <c r="U11" i="3"/>
  <c r="R6" i="3"/>
  <c r="U22" i="3"/>
  <c r="R11" i="3"/>
  <c r="R34" i="3"/>
  <c r="U20" i="3"/>
  <c r="R9" i="3"/>
  <c r="U27" i="3"/>
  <c r="R16" i="3"/>
  <c r="R24" i="3"/>
  <c r="R43" i="3"/>
  <c r="R7" i="3"/>
  <c r="R45" i="3"/>
  <c r="U21" i="3"/>
  <c r="R52" i="3"/>
  <c r="U24" i="3"/>
  <c r="U28" i="3"/>
  <c r="R22" i="3"/>
  <c r="R37" i="3"/>
  <c r="AF51" i="3"/>
  <c r="R57" i="3" l="1"/>
  <c r="U32" i="3"/>
  <c r="AF50" i="3"/>
  <c r="AF49" i="3" l="1"/>
  <c r="AF48" i="3" l="1"/>
  <c r="AF47" i="3" l="1"/>
  <c r="AF46" i="3" l="1"/>
  <c r="AF45" i="3" l="1"/>
  <c r="AF44" i="3" l="1"/>
  <c r="AF43" i="3" l="1"/>
  <c r="AF42" i="3" l="1"/>
  <c r="AF41" i="3" l="1"/>
  <c r="AF40" i="3" l="1"/>
  <c r="AF39" i="3" l="1"/>
  <c r="AF38" i="3" l="1"/>
  <c r="AF37" i="3" l="1"/>
  <c r="AF36" i="3" l="1"/>
  <c r="AF35" i="3" l="1"/>
  <c r="AF34" i="3" l="1"/>
  <c r="AF33" i="3" l="1"/>
  <c r="AF32" i="3" l="1"/>
  <c r="AF31" i="3" l="1"/>
  <c r="AF30" i="3" l="1"/>
  <c r="AF29" i="3" l="1"/>
  <c r="AF28" i="3" l="1"/>
  <c r="AF27" i="3" l="1"/>
  <c r="AF26" i="3" l="1"/>
  <c r="AF25" i="3" l="1"/>
  <c r="AF24" i="3" l="1"/>
  <c r="AF23" i="3" l="1"/>
  <c r="AF22" i="3" l="1"/>
  <c r="AF21" i="3" l="1"/>
  <c r="AF20" i="3" l="1"/>
  <c r="AF19" i="3" l="1"/>
  <c r="AF18" i="3" l="1"/>
  <c r="AF17" i="3" l="1"/>
  <c r="AF16" i="3" l="1"/>
  <c r="AF15" i="3" l="1"/>
  <c r="AF14" i="3" l="1"/>
  <c r="AF13" i="3" l="1"/>
  <c r="AF12" i="3" l="1"/>
  <c r="AF11" i="3" l="1"/>
  <c r="AF10" i="3" l="1"/>
  <c r="AF9" i="3" l="1"/>
  <c r="AF8" i="3" l="1"/>
  <c r="AF7" i="3" l="1"/>
  <c r="AF6" i="3" l="1"/>
  <c r="AF5" i="3" l="1"/>
  <c r="AF4" i="3" l="1"/>
  <c r="AF3" i="3" s="1"/>
  <c r="AM40" i="3"/>
  <c r="AM25" i="3"/>
  <c r="AM44" i="3"/>
  <c r="AM12" i="3"/>
  <c r="AM17" i="3"/>
  <c r="AM49" i="3"/>
  <c r="AM22" i="3"/>
  <c r="AM45" i="3"/>
  <c r="AM20" i="3"/>
  <c r="AM7" i="3"/>
  <c r="AM15" i="3"/>
  <c r="AM19" i="3"/>
  <c r="AM24" i="3"/>
  <c r="AM54" i="3"/>
  <c r="AM9" i="3"/>
  <c r="AM52" i="3"/>
  <c r="AM48" i="3"/>
  <c r="AM55" i="3"/>
  <c r="AM35" i="3"/>
  <c r="AM8" i="3"/>
  <c r="AM5" i="3"/>
  <c r="AM16" i="3"/>
  <c r="AM46" i="3"/>
  <c r="AM51" i="3"/>
  <c r="AM6" i="3"/>
  <c r="AM39" i="3"/>
  <c r="AM42" i="3"/>
  <c r="AM11" i="3"/>
  <c r="AM31" i="3"/>
  <c r="AM32" i="3"/>
  <c r="AM41" i="3"/>
  <c r="AM10" i="3"/>
  <c r="AM29" i="3"/>
  <c r="AM14" i="3"/>
  <c r="AM53" i="3"/>
  <c r="AM38" i="3"/>
  <c r="AM18" i="3"/>
  <c r="AM26" i="3"/>
  <c r="AM27" i="3"/>
  <c r="AM21" i="3"/>
  <c r="AM28" i="3"/>
  <c r="AM47" i="3"/>
  <c r="AM36" i="3"/>
  <c r="AM37" i="3"/>
  <c r="AM33" i="3"/>
  <c r="AM50" i="3"/>
  <c r="AM30" i="3"/>
  <c r="AM56" i="3"/>
  <c r="AM43" i="3"/>
  <c r="AM34" i="3"/>
  <c r="AM23" i="3"/>
  <c r="AM13" i="3"/>
  <c r="AL3" i="3"/>
  <c r="AM4" i="3"/>
  <c r="AM3" i="3" l="1"/>
  <c r="D4" i="3"/>
  <c r="Y4" i="6" l="1"/>
  <c r="V5" i="6" s="1"/>
  <c r="W5" i="6" l="1"/>
  <c r="W6" i="6" s="1"/>
  <c r="W8" i="6" s="1"/>
  <c r="X5" i="6"/>
  <c r="X6" i="6" s="1"/>
  <c r="X7" i="6" s="1"/>
  <c r="V6" i="6"/>
  <c r="X8" i="6" l="1"/>
  <c r="Y5" i="6"/>
  <c r="W7" i="6"/>
  <c r="Y6" i="6"/>
  <c r="Y8" i="6" s="1"/>
  <c r="V7" i="6"/>
  <c r="V8" i="6"/>
</calcChain>
</file>

<file path=xl/sharedStrings.xml><?xml version="1.0" encoding="utf-8"?>
<sst xmlns="http://schemas.openxmlformats.org/spreadsheetml/2006/main" count="1748" uniqueCount="226">
  <si>
    <t>Sister</t>
  </si>
  <si>
    <t>Aisha</t>
  </si>
  <si>
    <t>Halima</t>
  </si>
  <si>
    <t>Fatima</t>
  </si>
  <si>
    <t>Zainab</t>
  </si>
  <si>
    <t>Hajiya</t>
  </si>
  <si>
    <t>Amina</t>
  </si>
  <si>
    <t>Nana</t>
  </si>
  <si>
    <t>Mariam</t>
  </si>
  <si>
    <t>Hauwa</t>
  </si>
  <si>
    <t>Hajara</t>
  </si>
  <si>
    <t>Khadija</t>
  </si>
  <si>
    <t>Bestie</t>
  </si>
  <si>
    <t>Babe</t>
  </si>
  <si>
    <t>Mary</t>
  </si>
  <si>
    <t>Darling</t>
  </si>
  <si>
    <t>Wifey</t>
  </si>
  <si>
    <t>Happiness</t>
  </si>
  <si>
    <t>Sweetie</t>
  </si>
  <si>
    <t>Queen</t>
  </si>
  <si>
    <t>Martha</t>
  </si>
  <si>
    <t>Jennifer</t>
  </si>
  <si>
    <t>Faith</t>
  </si>
  <si>
    <t>Blessing</t>
  </si>
  <si>
    <t>Lizzy</t>
  </si>
  <si>
    <t>Grace</t>
  </si>
  <si>
    <t>Ivy</t>
  </si>
  <si>
    <t>Bimbo</t>
  </si>
  <si>
    <t>Anita</t>
  </si>
  <si>
    <t>General names</t>
  </si>
  <si>
    <t>Hausa names</t>
  </si>
  <si>
    <t>Mummy</t>
  </si>
  <si>
    <t>Aunty</t>
  </si>
  <si>
    <t>Cynthia</t>
  </si>
  <si>
    <t>Judith</t>
  </si>
  <si>
    <t>Jessica</t>
  </si>
  <si>
    <t>Rachael</t>
  </si>
  <si>
    <t xml:space="preserve">Vicky </t>
  </si>
  <si>
    <t>Ada</t>
  </si>
  <si>
    <t>Chioma</t>
  </si>
  <si>
    <t>Chidinma</t>
  </si>
  <si>
    <t>Oluchi</t>
  </si>
  <si>
    <t>Uju</t>
  </si>
  <si>
    <t>Ifeoma</t>
  </si>
  <si>
    <t>Amaka</t>
  </si>
  <si>
    <t>Amara</t>
  </si>
  <si>
    <t>Ngozi</t>
  </si>
  <si>
    <t>Nkiru</t>
  </si>
  <si>
    <t>Nkechi</t>
  </si>
  <si>
    <t>Ijeoma</t>
  </si>
  <si>
    <t>Ezinne</t>
  </si>
  <si>
    <t>Nne</t>
  </si>
  <si>
    <t>Nneoma</t>
  </si>
  <si>
    <t>Chidera</t>
  </si>
  <si>
    <t>Bisola</t>
  </si>
  <si>
    <t>Yetunde</t>
  </si>
  <si>
    <t>Kemi</t>
  </si>
  <si>
    <t>Ayomide</t>
  </si>
  <si>
    <t>Bola</t>
  </si>
  <si>
    <t>Tope</t>
  </si>
  <si>
    <t>Folake</t>
  </si>
  <si>
    <t>Funmi</t>
  </si>
  <si>
    <t>Ife</t>
  </si>
  <si>
    <t>Ronke</t>
  </si>
  <si>
    <t>Mama</t>
  </si>
  <si>
    <t>Hadiza</t>
  </si>
  <si>
    <t>Asmau</t>
  </si>
  <si>
    <t>Bilikisu</t>
  </si>
  <si>
    <t>Jamillah</t>
  </si>
  <si>
    <t>Maimuna</t>
  </si>
  <si>
    <t>Safiyah</t>
  </si>
  <si>
    <t>Beauty</t>
  </si>
  <si>
    <t>Fine Girl</t>
  </si>
  <si>
    <t>Ummi</t>
  </si>
  <si>
    <t>Gwaggo</t>
  </si>
  <si>
    <t>Tomi</t>
  </si>
  <si>
    <t>Toyin</t>
  </si>
  <si>
    <t>Tolu</t>
  </si>
  <si>
    <t>Ope</t>
  </si>
  <si>
    <t>Bisi</t>
  </si>
  <si>
    <t>Shade</t>
  </si>
  <si>
    <t>Yemi</t>
  </si>
  <si>
    <t>Titi</t>
  </si>
  <si>
    <t>Lola</t>
  </si>
  <si>
    <t>Tayo</t>
  </si>
  <si>
    <t>Iya</t>
  </si>
  <si>
    <t>Ruqqayat</t>
  </si>
  <si>
    <t>Ayo</t>
  </si>
  <si>
    <t>Shola</t>
  </si>
  <si>
    <t>Dayo</t>
  </si>
  <si>
    <t>Moji</t>
  </si>
  <si>
    <t>Dami</t>
  </si>
  <si>
    <t>Dupe</t>
  </si>
  <si>
    <t>Tutu</t>
  </si>
  <si>
    <t>Kike</t>
  </si>
  <si>
    <t>Seun</t>
  </si>
  <si>
    <t>Kehinde</t>
  </si>
  <si>
    <t>Taiwo</t>
  </si>
  <si>
    <t>Nike</t>
  </si>
  <si>
    <t>Wunmi</t>
  </si>
  <si>
    <t>Mayowa</t>
  </si>
  <si>
    <t>Ore mi</t>
  </si>
  <si>
    <t>Maami</t>
  </si>
  <si>
    <t xml:space="preserve">Fauzia </t>
  </si>
  <si>
    <t>East</t>
  </si>
  <si>
    <t>Nnenna</t>
  </si>
  <si>
    <t>Chichi</t>
  </si>
  <si>
    <t>Uche</t>
  </si>
  <si>
    <t>Ify</t>
  </si>
  <si>
    <t>Oge</t>
  </si>
  <si>
    <t>Nkem</t>
  </si>
  <si>
    <t>Mma</t>
  </si>
  <si>
    <t>Ego</t>
  </si>
  <si>
    <t>Amanda</t>
  </si>
  <si>
    <t>Ije</t>
  </si>
  <si>
    <t>Zikorah</t>
  </si>
  <si>
    <t>Onyeka</t>
  </si>
  <si>
    <t>Zuby</t>
  </si>
  <si>
    <t>Oby</t>
  </si>
  <si>
    <t>Sochi</t>
  </si>
  <si>
    <t>Sommy</t>
  </si>
  <si>
    <t>Nwannem</t>
  </si>
  <si>
    <t>Enyi'm</t>
  </si>
  <si>
    <t>Nnwannem Nwanyi</t>
  </si>
  <si>
    <t>South</t>
  </si>
  <si>
    <t>Ose</t>
  </si>
  <si>
    <t>Ehi</t>
  </si>
  <si>
    <t>Ekaette</t>
  </si>
  <si>
    <t>Mfon</t>
  </si>
  <si>
    <t>Uduak</t>
  </si>
  <si>
    <t>Idara</t>
  </si>
  <si>
    <t>WEST</t>
  </si>
  <si>
    <t>Opeyemi</t>
  </si>
  <si>
    <t>Year</t>
  </si>
  <si>
    <t>Values</t>
  </si>
  <si>
    <t>2024/25 Tgt</t>
  </si>
  <si>
    <t>2024/25</t>
  </si>
  <si>
    <t>Region</t>
  </si>
  <si>
    <t>Sum of Cs</t>
  </si>
  <si>
    <t>Sum of NIV</t>
  </si>
  <si>
    <t>Region 1 (Lagos)</t>
  </si>
  <si>
    <t>Region 2 (West)</t>
  </si>
  <si>
    <t>Region 3 (East)</t>
  </si>
  <si>
    <t>Region 4 (North)</t>
  </si>
  <si>
    <t>Region 5 (Mid-Belt)</t>
  </si>
  <si>
    <t>Region 6 (Modern Trade)</t>
  </si>
  <si>
    <t>Grand Total</t>
  </si>
  <si>
    <t>Plus 10% Projection</t>
  </si>
  <si>
    <t>P10</t>
  </si>
  <si>
    <t>P11</t>
  </si>
  <si>
    <t>P12</t>
  </si>
  <si>
    <t>Q4</t>
  </si>
  <si>
    <t>Lagos</t>
  </si>
  <si>
    <t>Specific</t>
  </si>
  <si>
    <t>Middle Belt</t>
  </si>
  <si>
    <t>North</t>
  </si>
  <si>
    <t>Modern Trade</t>
  </si>
  <si>
    <t>Q4 Tentative Target</t>
  </si>
  <si>
    <t>Benin</t>
  </si>
  <si>
    <t>Middle-Belt</t>
  </si>
  <si>
    <t xml:space="preserve">East </t>
  </si>
  <si>
    <t>Ikorodu RDC</t>
  </si>
  <si>
    <t>Onitsha RDC</t>
  </si>
  <si>
    <t>Abuja RDC</t>
  </si>
  <si>
    <t>West (Ex. Benin)</t>
  </si>
  <si>
    <t>Region by RDC</t>
  </si>
  <si>
    <t>Total</t>
  </si>
  <si>
    <t>%</t>
  </si>
  <si>
    <t>Total Percentage</t>
  </si>
  <si>
    <t>Input the percentage for each name or flat percentage split for general/specific names</t>
  </si>
  <si>
    <t>Benin (36% Contr. To West)</t>
  </si>
  <si>
    <t>Region 2 (West- Benin Exclusive)</t>
  </si>
  <si>
    <t>Lagos Total Volume</t>
  </si>
  <si>
    <t>East Total Volume</t>
  </si>
  <si>
    <t>West Total Volume</t>
  </si>
  <si>
    <t>MB Total Volume</t>
  </si>
  <si>
    <t>North Total Volume</t>
  </si>
  <si>
    <t>MT Total Volume</t>
  </si>
  <si>
    <t>Benin Total Volume</t>
  </si>
  <si>
    <t>q2</t>
  </si>
  <si>
    <t>Wkly/Rr</t>
  </si>
  <si>
    <t>PY</t>
  </si>
  <si>
    <t>Projection</t>
  </si>
  <si>
    <t>10% Up</t>
  </si>
  <si>
    <t>Growth vs PY</t>
  </si>
  <si>
    <t>% Growth</t>
  </si>
  <si>
    <t>L3M</t>
  </si>
  <si>
    <t>Growth vs L3M</t>
  </si>
  <si>
    <t>L08</t>
  </si>
  <si>
    <t>Growth vs L08</t>
  </si>
  <si>
    <t xml:space="preserve">Trade execution </t>
  </si>
  <si>
    <t>Mix and Merge</t>
  </si>
  <si>
    <t>MF In-pack financials</t>
  </si>
  <si>
    <t>Vol</t>
  </si>
  <si>
    <t>Action Plan</t>
  </si>
  <si>
    <t xml:space="preserve">Design a plan to deliver volume </t>
  </si>
  <si>
    <t>% Uplift</t>
  </si>
  <si>
    <t>To match up with PY number without incremental, Uplift for Q4 vs LY is 5%, growth vs LY is nil</t>
  </si>
  <si>
    <t>LY</t>
  </si>
  <si>
    <t>In-pack</t>
  </si>
  <si>
    <t>Name Customisation</t>
  </si>
  <si>
    <t>In-store Activation (similar to P07)</t>
  </si>
  <si>
    <t>Revised Volume</t>
  </si>
  <si>
    <t>Uplift vs L08</t>
  </si>
  <si>
    <t>In-stor Branding for IWD</t>
  </si>
  <si>
    <t>Share with Ego with Chdinma in coopy</t>
  </si>
  <si>
    <t>Testing the Case with Aramide (Mf 200mls to 1ltr)</t>
  </si>
  <si>
    <t xml:space="preserve">POS awareness </t>
  </si>
  <si>
    <t>Update Volume split for the names</t>
  </si>
  <si>
    <t>Speak to Maggie for a code for the MF 1Ltr for the In-pack</t>
  </si>
  <si>
    <t>Identifying value to shoppers; Lucky dip? Chris to check store inventory; New Promo items idea</t>
  </si>
  <si>
    <t>Accelerate run rate by 36% vs L3M</t>
  </si>
  <si>
    <t>Q4 Vol</t>
  </si>
  <si>
    <t>Comment</t>
  </si>
  <si>
    <t xml:space="preserve">Uplift </t>
  </si>
  <si>
    <t>Q4  Target</t>
  </si>
  <si>
    <t>% Contr.</t>
  </si>
  <si>
    <t>rev</t>
  </si>
  <si>
    <t>Total MF 1Ltr Volume</t>
  </si>
  <si>
    <t>Breadown by Variant</t>
  </si>
  <si>
    <t>1Ltr Original</t>
  </si>
  <si>
    <t>1Ltr Zesty</t>
  </si>
  <si>
    <t>To match up with LY number  for Total MF 1Ltr without incremental. Uplift for Q4 vs L08 is 5%, growth vs LY is nil; 
Growth vs L3M is 29%</t>
  </si>
  <si>
    <t>HajIya mi</t>
  </si>
  <si>
    <t>Iya mi</t>
  </si>
  <si>
    <t>SafIya mih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</si>
</sst>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0.0%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72 Black"/>
      <family val="2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CCCC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1" fillId="2" borderId="0" xfId="0" applyFont="1" applyFill="1"/>
    <xf numFmtId="0" fontId="1" fillId="2" borderId="2" xfId="0" applyFont="1" applyFill="1" applyBorder="1"/>
    <xf numFmtId="165" fontId="0" fillId="0" borderId="0" xfId="0" applyNumberFormat="1"/>
    <xf numFmtId="0" fontId="1" fillId="2" borderId="3" xfId="0" applyFont="1" applyFill="1" applyBorder="1"/>
    <xf numFmtId="165" fontId="1" fillId="2" borderId="3" xfId="0" applyNumberFormat="1" applyFont="1" applyFill="1" applyBorder="1"/>
    <xf numFmtId="0" fontId="1" fillId="0" borderId="0" xfId="0" applyFont="1"/>
    <xf numFmtId="166" fontId="0" fillId="0" borderId="0" xfId="0" applyNumberFormat="1"/>
    <xf numFmtId="164" fontId="0" fillId="0" borderId="0" xfId="0" applyNumberFormat="1"/>
    <xf numFmtId="165" fontId="0" fillId="0" borderId="4" xfId="0" applyNumberFormat="1" applyBorder="1"/>
    <xf numFmtId="165" fontId="1" fillId="2" borderId="0" xfId="0" applyNumberFormat="1" applyFont="1" applyFill="1"/>
    <xf numFmtId="10" fontId="0" fillId="0" borderId="1" xfId="1" applyNumberFormat="1" applyFont="1" applyBorder="1" applyAlignment="1">
      <alignment horizontal="center"/>
    </xf>
    <xf numFmtId="166" fontId="0" fillId="0" borderId="1" xfId="0" applyNumberFormat="1" applyBorder="1"/>
    <xf numFmtId="0" fontId="0" fillId="0" borderId="5" xfId="0" applyBorder="1"/>
    <xf numFmtId="166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2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6" fontId="5" fillId="4" borderId="1" xfId="0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166" fontId="5" fillId="4" borderId="11" xfId="0" applyNumberFormat="1" applyFont="1" applyFill="1" applyBorder="1" applyAlignment="1">
      <alignment horizontal="center"/>
    </xf>
    <xf numFmtId="0" fontId="0" fillId="0" borderId="10" xfId="0" applyBorder="1"/>
    <xf numFmtId="166" fontId="0" fillId="0" borderId="11" xfId="0" applyNumberFormat="1" applyBorder="1"/>
    <xf numFmtId="0" fontId="0" fillId="0" borderId="15" xfId="0" applyBorder="1"/>
    <xf numFmtId="166" fontId="0" fillId="0" borderId="16" xfId="0" applyNumberFormat="1" applyBorder="1"/>
    <xf numFmtId="0" fontId="0" fillId="0" borderId="16" xfId="0" applyBorder="1"/>
    <xf numFmtId="0" fontId="1" fillId="5" borderId="12" xfId="0" applyFont="1" applyFill="1" applyBorder="1" applyAlignment="1">
      <alignment horizontal="center"/>
    </xf>
    <xf numFmtId="9" fontId="1" fillId="5" borderId="13" xfId="1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9" fontId="1" fillId="5" borderId="14" xfId="1" applyFont="1" applyFill="1" applyBorder="1" applyAlignment="1">
      <alignment horizontal="center"/>
    </xf>
    <xf numFmtId="9" fontId="0" fillId="0" borderId="1" xfId="1" applyFont="1" applyBorder="1"/>
    <xf numFmtId="9" fontId="0" fillId="0" borderId="5" xfId="1" applyFont="1" applyBorder="1"/>
    <xf numFmtId="167" fontId="0" fillId="0" borderId="1" xfId="1" applyNumberFormat="1" applyFont="1" applyBorder="1"/>
    <xf numFmtId="167" fontId="0" fillId="0" borderId="5" xfId="1" applyNumberFormat="1" applyFont="1" applyBorder="1"/>
    <xf numFmtId="10" fontId="0" fillId="0" borderId="1" xfId="1" applyNumberFormat="1" applyFont="1" applyBorder="1"/>
    <xf numFmtId="164" fontId="6" fillId="6" borderId="1" xfId="0" applyNumberFormat="1" applyFont="1" applyFill="1" applyBorder="1"/>
    <xf numFmtId="167" fontId="0" fillId="0" borderId="1" xfId="1" applyNumberFormat="1" applyFont="1" applyBorder="1" applyAlignment="1">
      <alignment horizontal="center"/>
    </xf>
    <xf numFmtId="167" fontId="0" fillId="0" borderId="5" xfId="1" applyNumberFormat="1" applyFont="1" applyBorder="1" applyAlignment="1">
      <alignment horizontal="center"/>
    </xf>
    <xf numFmtId="10" fontId="0" fillId="0" borderId="5" xfId="1" applyNumberFormat="1" applyFont="1" applyBorder="1"/>
    <xf numFmtId="166" fontId="0" fillId="0" borderId="5" xfId="0" applyNumberFormat="1" applyBorder="1"/>
    <xf numFmtId="10" fontId="0" fillId="0" borderId="5" xfId="1" applyNumberFormat="1" applyFont="1" applyBorder="1" applyAlignment="1">
      <alignment horizontal="center"/>
    </xf>
    <xf numFmtId="0" fontId="0" fillId="0" borderId="7" xfId="0" applyBorder="1"/>
    <xf numFmtId="166" fontId="0" fillId="0" borderId="8" xfId="0" applyNumberFormat="1" applyBorder="1"/>
    <xf numFmtId="0" fontId="6" fillId="6" borderId="10" xfId="0" applyFont="1" applyFill="1" applyBorder="1"/>
    <xf numFmtId="165" fontId="0" fillId="0" borderId="8" xfId="0" applyNumberFormat="1" applyBorder="1"/>
    <xf numFmtId="165" fontId="0" fillId="0" borderId="9" xfId="0" applyNumberFormat="1" applyBorder="1"/>
    <xf numFmtId="0" fontId="1" fillId="7" borderId="27" xfId="0" applyFont="1" applyFill="1" applyBorder="1"/>
    <xf numFmtId="10" fontId="0" fillId="0" borderId="28" xfId="1" applyNumberFormat="1" applyFont="1" applyBorder="1" applyAlignment="1">
      <alignment horizontal="center"/>
    </xf>
    <xf numFmtId="10" fontId="0" fillId="0" borderId="17" xfId="1" applyNumberFormat="1" applyFont="1" applyBorder="1" applyAlignment="1">
      <alignment horizontal="center"/>
    </xf>
    <xf numFmtId="9" fontId="6" fillId="6" borderId="17" xfId="0" applyNumberFormat="1" applyFont="1" applyFill="1" applyBorder="1" applyAlignment="1">
      <alignment horizontal="center"/>
    </xf>
    <xf numFmtId="165" fontId="0" fillId="0" borderId="7" xfId="0" applyNumberFormat="1" applyBorder="1"/>
    <xf numFmtId="165" fontId="0" fillId="0" borderId="20" xfId="0" applyNumberFormat="1" applyBorder="1"/>
    <xf numFmtId="166" fontId="0" fillId="0" borderId="7" xfId="0" applyNumberFormat="1" applyBorder="1"/>
    <xf numFmtId="164" fontId="0" fillId="0" borderId="9" xfId="0" applyNumberFormat="1" applyBorder="1"/>
    <xf numFmtId="166" fontId="0" fillId="0" borderId="10" xfId="0" applyNumberFormat="1" applyBorder="1"/>
    <xf numFmtId="164" fontId="0" fillId="0" borderId="11" xfId="0" applyNumberFormat="1" applyBorder="1"/>
    <xf numFmtId="164" fontId="6" fillId="6" borderId="10" xfId="0" applyNumberFormat="1" applyFont="1" applyFill="1" applyBorder="1"/>
    <xf numFmtId="164" fontId="6" fillId="6" borderId="11" xfId="0" applyNumberFormat="1" applyFont="1" applyFill="1" applyBorder="1"/>
    <xf numFmtId="165" fontId="0" fillId="0" borderId="32" xfId="0" applyNumberFormat="1" applyBorder="1"/>
    <xf numFmtId="166" fontId="6" fillId="6" borderId="35" xfId="0" applyNumberFormat="1" applyFont="1" applyFill="1" applyBorder="1"/>
    <xf numFmtId="0" fontId="1" fillId="8" borderId="19" xfId="0" applyFont="1" applyFill="1" applyBorder="1" applyAlignment="1">
      <alignment horizontal="center"/>
    </xf>
    <xf numFmtId="166" fontId="0" fillId="9" borderId="32" xfId="0" applyNumberFormat="1" applyFill="1" applyBorder="1" applyAlignment="1">
      <alignment horizontal="center"/>
    </xf>
    <xf numFmtId="166" fontId="0" fillId="9" borderId="35" xfId="0" applyNumberFormat="1" applyFill="1" applyBorder="1" applyAlignment="1">
      <alignment horizontal="center"/>
    </xf>
    <xf numFmtId="0" fontId="0" fillId="8" borderId="20" xfId="0" applyFill="1" applyBorder="1"/>
    <xf numFmtId="10" fontId="1" fillId="8" borderId="29" xfId="1" applyNumberFormat="1" applyFont="1" applyFill="1" applyBorder="1" applyAlignment="1">
      <alignment horizontal="center"/>
    </xf>
    <xf numFmtId="166" fontId="1" fillId="8" borderId="20" xfId="0" applyNumberFormat="1" applyFont="1" applyFill="1" applyBorder="1"/>
    <xf numFmtId="166" fontId="1" fillId="8" borderId="21" xfId="0" applyNumberFormat="1" applyFont="1" applyFill="1" applyBorder="1"/>
    <xf numFmtId="164" fontId="1" fillId="8" borderId="22" xfId="0" applyNumberFormat="1" applyFont="1" applyFill="1" applyBorder="1"/>
    <xf numFmtId="166" fontId="1" fillId="8" borderId="33" xfId="0" applyNumberFormat="1" applyFont="1" applyFill="1" applyBorder="1"/>
    <xf numFmtId="165" fontId="1" fillId="8" borderId="30" xfId="0" applyNumberFormat="1" applyFont="1" applyFill="1" applyBorder="1" applyAlignment="1">
      <alignment horizontal="center"/>
    </xf>
    <xf numFmtId="165" fontId="1" fillId="8" borderId="6" xfId="0" applyNumberFormat="1" applyFont="1" applyFill="1" applyBorder="1" applyAlignment="1">
      <alignment horizontal="center"/>
    </xf>
    <xf numFmtId="165" fontId="1" fillId="8" borderId="31" xfId="0" applyNumberFormat="1" applyFont="1" applyFill="1" applyBorder="1" applyAlignment="1">
      <alignment horizontal="center"/>
    </xf>
    <xf numFmtId="165" fontId="1" fillId="8" borderId="34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9" fontId="1" fillId="8" borderId="21" xfId="1" applyFont="1" applyFill="1" applyBorder="1"/>
    <xf numFmtId="166" fontId="1" fillId="8" borderId="21" xfId="2" applyNumberFormat="1" applyFont="1" applyFill="1" applyBorder="1"/>
    <xf numFmtId="0" fontId="1" fillId="8" borderId="21" xfId="0" applyFont="1" applyFill="1" applyBorder="1" applyAlignment="1">
      <alignment horizontal="center"/>
    </xf>
    <xf numFmtId="166" fontId="1" fillId="8" borderId="22" xfId="2" applyNumberFormat="1" applyFont="1" applyFill="1" applyBorder="1"/>
    <xf numFmtId="10" fontId="0" fillId="0" borderId="18" xfId="1" applyNumberFormat="1" applyFont="1" applyBorder="1" applyAlignment="1">
      <alignment horizontal="center"/>
    </xf>
    <xf numFmtId="0" fontId="1" fillId="8" borderId="36" xfId="0" applyFont="1" applyFill="1" applyBorder="1" applyAlignment="1">
      <alignment horizontal="center"/>
    </xf>
    <xf numFmtId="9" fontId="1" fillId="8" borderId="26" xfId="1" applyFont="1" applyFill="1" applyBorder="1"/>
    <xf numFmtId="166" fontId="1" fillId="8" borderId="26" xfId="2" applyNumberFormat="1" applyFont="1" applyFill="1" applyBorder="1"/>
    <xf numFmtId="0" fontId="1" fillId="8" borderId="26" xfId="0" applyFont="1" applyFill="1" applyBorder="1" applyAlignment="1">
      <alignment horizontal="center"/>
    </xf>
    <xf numFmtId="166" fontId="1" fillId="8" borderId="37" xfId="2" applyNumberFormat="1" applyFont="1" applyFill="1" applyBorder="1"/>
    <xf numFmtId="166" fontId="0" fillId="0" borderId="8" xfId="0" applyNumberFormat="1" applyBorder="1" applyAlignment="1">
      <alignment horizontal="center"/>
    </xf>
    <xf numFmtId="0" fontId="7" fillId="9" borderId="23" xfId="0" applyFont="1" applyFill="1" applyBorder="1" applyAlignment="1">
      <alignment vertical="center"/>
    </xf>
    <xf numFmtId="0" fontId="7" fillId="9" borderId="24" xfId="0" applyFont="1" applyFill="1" applyBorder="1" applyAlignment="1">
      <alignment vertical="center"/>
    </xf>
    <xf numFmtId="1" fontId="7" fillId="9" borderId="25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" fillId="8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166" fontId="1" fillId="9" borderId="1" xfId="2" applyNumberFormat="1" applyFont="1" applyFill="1" applyBorder="1" applyAlignment="1">
      <alignment horizontal="right"/>
    </xf>
    <xf numFmtId="166" fontId="1" fillId="9" borderId="1" xfId="0" applyNumberFormat="1" applyFont="1" applyFill="1" applyBorder="1" applyAlignment="1">
      <alignment horizontal="right"/>
    </xf>
    <xf numFmtId="0" fontId="0" fillId="8" borderId="1" xfId="0" applyFill="1" applyBorder="1" applyAlignment="1">
      <alignment horizontal="left"/>
    </xf>
    <xf numFmtId="166" fontId="1" fillId="8" borderId="1" xfId="0" applyNumberFormat="1" applyFont="1" applyFill="1" applyBorder="1" applyAlignment="1">
      <alignment horizontal="right"/>
    </xf>
    <xf numFmtId="166" fontId="0" fillId="0" borderId="0" xfId="2" applyNumberFormat="1" applyFont="1"/>
    <xf numFmtId="0" fontId="1" fillId="3" borderId="0" xfId="0" applyFont="1" applyFill="1" applyAlignment="1">
      <alignment horizontal="center"/>
    </xf>
    <xf numFmtId="165" fontId="1" fillId="8" borderId="0" xfId="0" applyNumberFormat="1" applyFont="1" applyFill="1" applyAlignment="1">
      <alignment horizontal="center"/>
    </xf>
    <xf numFmtId="166" fontId="0" fillId="0" borderId="0" xfId="1" applyNumberFormat="1" applyFont="1"/>
    <xf numFmtId="166" fontId="0" fillId="9" borderId="0" xfId="0" applyNumberFormat="1" applyFill="1"/>
    <xf numFmtId="167" fontId="0" fillId="6" borderId="0" xfId="1" applyNumberFormat="1" applyFont="1" applyFill="1"/>
    <xf numFmtId="0" fontId="0" fillId="3" borderId="0" xfId="0" applyFill="1"/>
    <xf numFmtId="0" fontId="1" fillId="11" borderId="0" xfId="0" applyFont="1" applyFill="1"/>
    <xf numFmtId="166" fontId="0" fillId="12" borderId="0" xfId="2" applyNumberFormat="1" applyFont="1" applyFill="1"/>
    <xf numFmtId="0" fontId="1" fillId="0" borderId="0" xfId="0" applyFont="1" applyAlignment="1">
      <alignment horizontal="right"/>
    </xf>
    <xf numFmtId="166" fontId="1" fillId="9" borderId="0" xfId="2" applyNumberFormat="1" applyFont="1" applyFill="1" applyAlignment="1">
      <alignment horizontal="right"/>
    </xf>
    <xf numFmtId="9" fontId="1" fillId="6" borderId="0" xfId="1" applyFont="1" applyFill="1" applyAlignment="1">
      <alignment horizontal="right"/>
    </xf>
    <xf numFmtId="1" fontId="1" fillId="12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13" borderId="0" xfId="0" applyFont="1" applyFill="1"/>
    <xf numFmtId="0" fontId="1" fillId="8" borderId="0" xfId="0" applyFont="1" applyFill="1"/>
    <xf numFmtId="0" fontId="1" fillId="3" borderId="0" xfId="0" applyFont="1" applyFill="1"/>
    <xf numFmtId="9" fontId="0" fillId="0" borderId="0" xfId="1" applyFont="1"/>
    <xf numFmtId="166" fontId="0" fillId="12" borderId="0" xfId="0" applyNumberFormat="1" applyFill="1" applyAlignment="1">
      <alignment horizontal="right"/>
    </xf>
    <xf numFmtId="166" fontId="0" fillId="12" borderId="0" xfId="2" applyNumberFormat="1" applyFont="1" applyFill="1" applyAlignment="1">
      <alignment horizontal="right"/>
    </xf>
    <xf numFmtId="166" fontId="0" fillId="9" borderId="0" xfId="0" applyNumberFormat="1" applyFill="1" applyAlignment="1">
      <alignment horizontal="right"/>
    </xf>
    <xf numFmtId="167" fontId="1" fillId="6" borderId="0" xfId="1" applyNumberFormat="1" applyFont="1" applyFill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2" applyNumberFormat="1" applyFont="1" applyFill="1" applyAlignment="1">
      <alignment horizontal="right"/>
    </xf>
    <xf numFmtId="0" fontId="9" fillId="0" borderId="0" xfId="0" applyFont="1"/>
    <xf numFmtId="0" fontId="1" fillId="0" borderId="38" xfId="0" applyFont="1" applyBorder="1" applyAlignment="1">
      <alignment horizontal="center"/>
    </xf>
    <xf numFmtId="166" fontId="0" fillId="0" borderId="34" xfId="0" applyNumberFormat="1" applyBorder="1" applyAlignment="1">
      <alignment horizontal="right"/>
    </xf>
    <xf numFmtId="0" fontId="0" fillId="0" borderId="34" xfId="0" applyBorder="1"/>
    <xf numFmtId="9" fontId="0" fillId="6" borderId="39" xfId="1" applyFont="1" applyFill="1" applyBorder="1" applyAlignment="1">
      <alignment horizontal="center"/>
    </xf>
    <xf numFmtId="166" fontId="0" fillId="0" borderId="34" xfId="2" applyNumberFormat="1" applyFont="1" applyFill="1" applyBorder="1" applyAlignment="1">
      <alignment horizontal="right"/>
    </xf>
    <xf numFmtId="166" fontId="0" fillId="0" borderId="34" xfId="0" applyNumberFormat="1" applyBorder="1"/>
    <xf numFmtId="1" fontId="1" fillId="0" borderId="34" xfId="0" applyNumberFormat="1" applyFont="1" applyBorder="1" applyAlignment="1">
      <alignment horizontal="right"/>
    </xf>
    <xf numFmtId="166" fontId="1" fillId="9" borderId="34" xfId="0" applyNumberFormat="1" applyFont="1" applyFill="1" applyBorder="1" applyAlignment="1">
      <alignment horizontal="right"/>
    </xf>
    <xf numFmtId="166" fontId="1" fillId="9" borderId="34" xfId="2" applyNumberFormat="1" applyFont="1" applyFill="1" applyBorder="1" applyAlignment="1">
      <alignment horizontal="right"/>
    </xf>
    <xf numFmtId="1" fontId="1" fillId="9" borderId="34" xfId="0" applyNumberFormat="1" applyFont="1" applyFill="1" applyBorder="1" applyAlignment="1">
      <alignment horizontal="right"/>
    </xf>
    <xf numFmtId="0" fontId="1" fillId="8" borderId="34" xfId="0" applyFont="1" applyFill="1" applyBorder="1" applyAlignment="1">
      <alignment horizontal="center"/>
    </xf>
    <xf numFmtId="0" fontId="1" fillId="8" borderId="38" xfId="0" applyFont="1" applyFill="1" applyBorder="1" applyAlignment="1">
      <alignment horizontal="center"/>
    </xf>
    <xf numFmtId="0" fontId="1" fillId="0" borderId="23" xfId="0" applyFont="1" applyBorder="1"/>
    <xf numFmtId="166" fontId="0" fillId="0" borderId="38" xfId="0" applyNumberFormat="1" applyBorder="1" applyAlignment="1">
      <alignment horizontal="right"/>
    </xf>
    <xf numFmtId="166" fontId="0" fillId="0" borderId="38" xfId="2" applyNumberFormat="1" applyFont="1" applyFill="1" applyBorder="1"/>
    <xf numFmtId="1" fontId="1" fillId="0" borderId="38" xfId="0" applyNumberFormat="1" applyFont="1" applyBorder="1" applyAlignment="1">
      <alignment horizontal="right"/>
    </xf>
    <xf numFmtId="0" fontId="1" fillId="0" borderId="40" xfId="0" applyFont="1" applyBorder="1"/>
    <xf numFmtId="0" fontId="1" fillId="8" borderId="40" xfId="0" applyFont="1" applyFill="1" applyBorder="1"/>
    <xf numFmtId="0" fontId="1" fillId="0" borderId="41" xfId="0" applyFont="1" applyBorder="1"/>
    <xf numFmtId="167" fontId="1" fillId="6" borderId="39" xfId="1" applyNumberFormat="1" applyFont="1" applyFill="1" applyBorder="1" applyAlignment="1">
      <alignment horizontal="right"/>
    </xf>
    <xf numFmtId="0" fontId="1" fillId="3" borderId="41" xfId="0" applyFont="1" applyFill="1" applyBorder="1"/>
    <xf numFmtId="9" fontId="1" fillId="6" borderId="39" xfId="1" applyFont="1" applyFill="1" applyBorder="1" applyAlignment="1">
      <alignment horizontal="right"/>
    </xf>
    <xf numFmtId="165" fontId="1" fillId="8" borderId="35" xfId="0" applyNumberFormat="1" applyFont="1" applyFill="1" applyBorder="1" applyAlignment="1">
      <alignment horizontal="center"/>
    </xf>
    <xf numFmtId="166" fontId="0" fillId="0" borderId="35" xfId="0" applyNumberFormat="1" applyBorder="1"/>
    <xf numFmtId="164" fontId="6" fillId="6" borderId="35" xfId="0" applyNumberFormat="1" applyFont="1" applyFill="1" applyBorder="1"/>
    <xf numFmtId="164" fontId="0" fillId="0" borderId="35" xfId="0" applyNumberFormat="1" applyBorder="1"/>
    <xf numFmtId="164" fontId="1" fillId="8" borderId="33" xfId="0" applyNumberFormat="1" applyFont="1" applyFill="1" applyBorder="1"/>
    <xf numFmtId="165" fontId="0" fillId="9" borderId="32" xfId="0" applyNumberFormat="1" applyFill="1" applyBorder="1"/>
    <xf numFmtId="0" fontId="1" fillId="9" borderId="7" xfId="0" applyFont="1" applyFill="1" applyBorder="1"/>
    <xf numFmtId="0" fontId="0" fillId="9" borderId="20" xfId="0" applyFill="1" applyBorder="1"/>
    <xf numFmtId="0" fontId="1" fillId="9" borderId="28" xfId="0" applyFont="1" applyFill="1" applyBorder="1" applyAlignment="1">
      <alignment horizontal="center"/>
    </xf>
    <xf numFmtId="10" fontId="1" fillId="9" borderId="29" xfId="1" applyNumberFormat="1" applyFont="1" applyFill="1" applyBorder="1" applyAlignment="1">
      <alignment horizontal="center"/>
    </xf>
    <xf numFmtId="167" fontId="0" fillId="0" borderId="0" xfId="1" applyNumberFormat="1" applyFont="1" applyFill="1" applyBorder="1" applyAlignment="1">
      <alignment horizontal="center"/>
    </xf>
    <xf numFmtId="9" fontId="0" fillId="0" borderId="0" xfId="0" applyNumberFormat="1"/>
    <xf numFmtId="167" fontId="0" fillId="0" borderId="0" xfId="1" applyNumberFormat="1" applyFont="1"/>
    <xf numFmtId="166" fontId="0" fillId="0" borderId="39" xfId="0" applyNumberFormat="1" applyBorder="1" applyAlignment="1">
      <alignment horizontal="right"/>
    </xf>
    <xf numFmtId="0" fontId="0" fillId="0" borderId="39" xfId="0" applyBorder="1"/>
    <xf numFmtId="1" fontId="1" fillId="0" borderId="39" xfId="0" applyNumberFormat="1" applyFont="1" applyBorder="1" applyAlignment="1">
      <alignment horizontal="right"/>
    </xf>
    <xf numFmtId="166" fontId="0" fillId="0" borderId="39" xfId="2" applyNumberFormat="1" applyFont="1" applyBorder="1"/>
    <xf numFmtId="1" fontId="0" fillId="0" borderId="34" xfId="0" applyNumberFormat="1" applyBorder="1"/>
    <xf numFmtId="1" fontId="0" fillId="0" borderId="39" xfId="0" applyNumberFormat="1" applyBorder="1"/>
    <xf numFmtId="166" fontId="0" fillId="0" borderId="39" xfId="0" applyNumberFormat="1" applyBorder="1"/>
    <xf numFmtId="1" fontId="1" fillId="9" borderId="38" xfId="0" applyNumberFormat="1" applyFont="1" applyFill="1" applyBorder="1" applyAlignment="1">
      <alignment horizontal="right"/>
    </xf>
    <xf numFmtId="0" fontId="1" fillId="8" borderId="38" xfId="0" applyFont="1" applyFill="1" applyBorder="1"/>
    <xf numFmtId="0" fontId="1" fillId="0" borderId="34" xfId="0" applyFont="1" applyBorder="1"/>
    <xf numFmtId="0" fontId="1" fillId="0" borderId="39" xfId="0" applyFont="1" applyBorder="1"/>
    <xf numFmtId="166" fontId="1" fillId="9" borderId="38" xfId="0" applyNumberFormat="1" applyFont="1" applyFill="1" applyBorder="1" applyAlignment="1">
      <alignment horizontal="right"/>
    </xf>
    <xf numFmtId="166" fontId="1" fillId="9" borderId="38" xfId="0" applyNumberFormat="1" applyFont="1" applyFill="1" applyBorder="1"/>
    <xf numFmtId="0" fontId="1" fillId="14" borderId="38" xfId="0" applyFont="1" applyFill="1" applyBorder="1"/>
    <xf numFmtId="166" fontId="0" fillId="15" borderId="38" xfId="0" applyNumberFormat="1" applyFill="1" applyBorder="1" applyAlignment="1">
      <alignment horizontal="right"/>
    </xf>
    <xf numFmtId="166" fontId="0" fillId="15" borderId="38" xfId="0" applyNumberFormat="1" applyFill="1" applyBorder="1"/>
    <xf numFmtId="1" fontId="1" fillId="15" borderId="38" xfId="0" applyNumberFormat="1" applyFont="1" applyFill="1" applyBorder="1" applyAlignment="1">
      <alignment horizontal="right"/>
    </xf>
    <xf numFmtId="0" fontId="1" fillId="13" borderId="38" xfId="0" applyFont="1" applyFill="1" applyBorder="1"/>
    <xf numFmtId="166" fontId="0" fillId="12" borderId="38" xfId="0" applyNumberFormat="1" applyFill="1" applyBorder="1" applyAlignment="1">
      <alignment horizontal="right"/>
    </xf>
    <xf numFmtId="166" fontId="0" fillId="12" borderId="38" xfId="0" applyNumberFormat="1" applyFill="1" applyBorder="1"/>
    <xf numFmtId="1" fontId="1" fillId="12" borderId="38" xfId="0" applyNumberFormat="1" applyFont="1" applyFill="1" applyBorder="1" applyAlignment="1">
      <alignment horizontal="right"/>
    </xf>
    <xf numFmtId="166" fontId="0" fillId="0" borderId="34" xfId="2" applyNumberFormat="1" applyFont="1" applyBorder="1"/>
    <xf numFmtId="167" fontId="1" fillId="8" borderId="26" xfId="1" applyNumberFormat="1" applyFont="1" applyFill="1" applyBorder="1"/>
    <xf numFmtId="10" fontId="1" fillId="8" borderId="26" xfId="1" applyNumberFormat="1" applyFont="1" applyFill="1" applyBorder="1"/>
    <xf numFmtId="10" fontId="0" fillId="0" borderId="0" xfId="0" applyNumberFormat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9" fillId="0" borderId="23" xfId="0" applyFont="1" applyBorder="1" applyAlignment="1">
      <alignment horizontal="left" wrapText="1"/>
    </xf>
    <xf numFmtId="0" fontId="9" fillId="0" borderId="24" xfId="0" applyFont="1" applyBorder="1" applyAlignment="1">
      <alignment horizontal="left" wrapText="1"/>
    </xf>
    <xf numFmtId="0" fontId="9" fillId="0" borderId="25" xfId="0" applyFont="1" applyBorder="1" applyAlignment="1">
      <alignment horizontal="left" wrapText="1"/>
    </xf>
    <xf numFmtId="0" fontId="9" fillId="0" borderId="40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9" fillId="0" borderId="41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0" fontId="1" fillId="0" borderId="38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10" borderId="10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EFE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5E89-B51F-4F57-9145-C3FD0679C842}">
  <sheetPr>
    <tabColor rgb="FFFFC000"/>
  </sheetPr>
  <dimension ref="B1:AI59"/>
  <sheetViews>
    <sheetView zoomScale="69" zoomScaleNormal="69" workbookViewId="0">
      <pane ySplit="4" topLeftCell="A5" activePane="bottomLeft" state="frozen"/>
      <selection activeCell="A2" sqref="A2"/>
      <selection pane="bottomLeft" activeCell="G11" sqref="G11"/>
    </sheetView>
  </sheetViews>
  <sheetFormatPr defaultRowHeight="14.5" x14ac:dyDescent="0.35"/>
  <cols>
    <col min="1" max="1" width="1.81640625" customWidth="1"/>
    <col min="2" max="2" width="16.1796875" bestFit="1" customWidth="1"/>
    <col min="3" max="3" width="10.26953125" customWidth="1"/>
    <col min="4" max="4" width="15.08984375" customWidth="1"/>
    <col min="5" max="5" width="9.1796875" bestFit="1" customWidth="1"/>
    <col min="6" max="6" width="3.36328125" customWidth="1"/>
    <col min="7" max="7" width="38.7265625" customWidth="1"/>
    <col min="8" max="8" width="10.26953125" customWidth="1"/>
    <col min="9" max="9" width="17.08984375" bestFit="1" customWidth="1"/>
    <col min="10" max="10" width="9.1796875" bestFit="1" customWidth="1"/>
    <col min="11" max="11" width="3.26953125" customWidth="1"/>
    <col min="12" max="12" width="14.26953125" bestFit="1" customWidth="1"/>
    <col min="14" max="14" width="19.7265625" customWidth="1"/>
    <col min="16" max="16" width="3.54296875" customWidth="1"/>
    <col min="17" max="17" width="17.7265625" customWidth="1"/>
    <col min="19" max="19" width="14.54296875" customWidth="1"/>
    <col min="20" max="20" width="9.81640625" bestFit="1" customWidth="1"/>
    <col min="21" max="21" width="3.1796875" customWidth="1"/>
    <col min="22" max="22" width="21.453125" customWidth="1"/>
    <col min="24" max="24" width="21.453125" customWidth="1"/>
    <col min="26" max="26" width="3.1796875" customWidth="1"/>
    <col min="27" max="27" width="21.453125" customWidth="1"/>
    <col min="29" max="29" width="22.08984375" customWidth="1"/>
    <col min="31" max="31" width="2.81640625" customWidth="1"/>
    <col min="32" max="32" width="21.453125" customWidth="1"/>
    <col min="34" max="34" width="22.08984375" customWidth="1"/>
  </cols>
  <sheetData>
    <row r="1" spans="2:35" x14ac:dyDescent="0.35">
      <c r="B1" t="s">
        <v>169</v>
      </c>
    </row>
    <row r="2" spans="2:35" ht="15" thickBot="1" x14ac:dyDescent="0.4"/>
    <row r="3" spans="2:35" x14ac:dyDescent="0.35">
      <c r="B3" s="188" t="s">
        <v>152</v>
      </c>
      <c r="C3" s="189"/>
      <c r="D3" s="189"/>
      <c r="E3" s="190"/>
      <c r="G3" s="188" t="s">
        <v>104</v>
      </c>
      <c r="H3" s="189"/>
      <c r="I3" s="189"/>
      <c r="J3" s="190"/>
      <c r="L3" s="188" t="s">
        <v>131</v>
      </c>
      <c r="M3" s="189"/>
      <c r="N3" s="189"/>
      <c r="O3" s="190"/>
      <c r="Q3" s="188" t="s">
        <v>154</v>
      </c>
      <c r="R3" s="189"/>
      <c r="S3" s="189"/>
      <c r="T3" s="190"/>
      <c r="V3" s="188" t="s">
        <v>155</v>
      </c>
      <c r="W3" s="189"/>
      <c r="X3" s="189"/>
      <c r="Y3" s="190"/>
      <c r="AA3" s="188" t="s">
        <v>156</v>
      </c>
      <c r="AB3" s="189"/>
      <c r="AC3" s="189"/>
      <c r="AD3" s="190"/>
      <c r="AF3" s="188" t="s">
        <v>158</v>
      </c>
      <c r="AG3" s="189"/>
      <c r="AH3" s="189"/>
      <c r="AI3" s="190"/>
    </row>
    <row r="4" spans="2:35" s="9" customFormat="1" ht="15.5" x14ac:dyDescent="0.35">
      <c r="B4" s="25" t="s">
        <v>29</v>
      </c>
      <c r="C4" s="24" t="s">
        <v>167</v>
      </c>
      <c r="D4" s="18" t="s">
        <v>153</v>
      </c>
      <c r="E4" s="26" t="s">
        <v>167</v>
      </c>
      <c r="G4" s="25" t="s">
        <v>29</v>
      </c>
      <c r="H4" s="24" t="s">
        <v>167</v>
      </c>
      <c r="I4" s="18" t="s">
        <v>153</v>
      </c>
      <c r="J4" s="26" t="s">
        <v>167</v>
      </c>
      <c r="L4" s="25" t="s">
        <v>29</v>
      </c>
      <c r="M4" s="24" t="s">
        <v>167</v>
      </c>
      <c r="N4" s="18" t="s">
        <v>153</v>
      </c>
      <c r="O4" s="26" t="s">
        <v>167</v>
      </c>
      <c r="Q4" s="25" t="s">
        <v>29</v>
      </c>
      <c r="R4" s="24" t="s">
        <v>167</v>
      </c>
      <c r="S4" s="18" t="s">
        <v>153</v>
      </c>
      <c r="T4" s="26" t="s">
        <v>167</v>
      </c>
      <c r="V4" s="25" t="s">
        <v>29</v>
      </c>
      <c r="W4" s="24"/>
      <c r="X4" s="18" t="s">
        <v>153</v>
      </c>
      <c r="Y4" s="26" t="s">
        <v>167</v>
      </c>
      <c r="AA4" s="25" t="s">
        <v>29</v>
      </c>
      <c r="AB4" s="24" t="s">
        <v>167</v>
      </c>
      <c r="AC4" s="18" t="s">
        <v>153</v>
      </c>
      <c r="AD4" s="26" t="s">
        <v>167</v>
      </c>
      <c r="AF4" s="25" t="s">
        <v>29</v>
      </c>
      <c r="AG4" s="24" t="s">
        <v>167</v>
      </c>
      <c r="AH4" s="18" t="s">
        <v>153</v>
      </c>
      <c r="AI4" s="26" t="s">
        <v>167</v>
      </c>
    </row>
    <row r="5" spans="2:35" x14ac:dyDescent="0.35">
      <c r="B5" s="27" t="s">
        <v>31</v>
      </c>
      <c r="C5" s="15"/>
      <c r="D5" s="2" t="s">
        <v>75</v>
      </c>
      <c r="E5" s="28"/>
      <c r="G5" s="27" t="s">
        <v>31</v>
      </c>
      <c r="H5" s="15"/>
      <c r="I5" s="2" t="s">
        <v>105</v>
      </c>
      <c r="J5" s="28"/>
      <c r="K5" s="11"/>
      <c r="L5" s="27" t="s">
        <v>31</v>
      </c>
      <c r="M5" s="17"/>
      <c r="N5" s="2" t="s">
        <v>75</v>
      </c>
      <c r="O5" s="28"/>
      <c r="Q5" s="27" t="s">
        <v>31</v>
      </c>
      <c r="R5" s="17"/>
      <c r="S5" s="2" t="s">
        <v>1</v>
      </c>
      <c r="T5" s="28"/>
      <c r="V5" s="27" t="s">
        <v>31</v>
      </c>
      <c r="W5" s="17"/>
      <c r="X5" s="2" t="s">
        <v>1</v>
      </c>
      <c r="Y5" s="28"/>
      <c r="AA5" s="27" t="s">
        <v>31</v>
      </c>
      <c r="AB5" s="17"/>
      <c r="AC5" s="2" t="s">
        <v>1</v>
      </c>
      <c r="AD5" s="28"/>
      <c r="AF5" s="27" t="s">
        <v>31</v>
      </c>
      <c r="AG5" s="17"/>
      <c r="AH5" s="2" t="s">
        <v>1</v>
      </c>
      <c r="AI5" s="28"/>
    </row>
    <row r="6" spans="2:35" x14ac:dyDescent="0.35">
      <c r="B6" s="27" t="s">
        <v>32</v>
      </c>
      <c r="C6" s="15"/>
      <c r="D6" s="2" t="s">
        <v>76</v>
      </c>
      <c r="E6" s="28"/>
      <c r="G6" s="27" t="s">
        <v>32</v>
      </c>
      <c r="H6" s="15"/>
      <c r="I6" s="2" t="s">
        <v>0</v>
      </c>
      <c r="J6" s="28"/>
      <c r="L6" s="27" t="s">
        <v>32</v>
      </c>
      <c r="M6" s="17"/>
      <c r="N6" s="2" t="s">
        <v>76</v>
      </c>
      <c r="O6" s="28"/>
      <c r="Q6" s="27" t="s">
        <v>32</v>
      </c>
      <c r="R6" s="17"/>
      <c r="S6" s="2" t="s">
        <v>2</v>
      </c>
      <c r="T6" s="28"/>
      <c r="V6" s="27" t="s">
        <v>32</v>
      </c>
      <c r="W6" s="17"/>
      <c r="X6" s="2" t="s">
        <v>2</v>
      </c>
      <c r="Y6" s="28"/>
      <c r="AA6" s="27" t="s">
        <v>32</v>
      </c>
      <c r="AB6" s="17"/>
      <c r="AC6" s="2" t="s">
        <v>2</v>
      </c>
      <c r="AD6" s="28"/>
      <c r="AF6" s="27" t="s">
        <v>32</v>
      </c>
      <c r="AG6" s="17"/>
      <c r="AH6" s="2" t="s">
        <v>2</v>
      </c>
      <c r="AI6" s="28"/>
    </row>
    <row r="7" spans="2:35" x14ac:dyDescent="0.35">
      <c r="B7" s="27" t="s">
        <v>12</v>
      </c>
      <c r="C7" s="15"/>
      <c r="D7" s="2" t="s">
        <v>77</v>
      </c>
      <c r="E7" s="28"/>
      <c r="G7" s="27" t="s">
        <v>12</v>
      </c>
      <c r="H7" s="15"/>
      <c r="I7" s="2" t="s">
        <v>106</v>
      </c>
      <c r="J7" s="28"/>
      <c r="L7" s="27" t="s">
        <v>12</v>
      </c>
      <c r="M7" s="17"/>
      <c r="N7" s="2" t="s">
        <v>77</v>
      </c>
      <c r="O7" s="28"/>
      <c r="Q7" s="27" t="s">
        <v>12</v>
      </c>
      <c r="R7" s="17"/>
      <c r="S7" s="2" t="s">
        <v>3</v>
      </c>
      <c r="T7" s="28"/>
      <c r="V7" s="27" t="s">
        <v>12</v>
      </c>
      <c r="W7" s="17"/>
      <c r="X7" s="2" t="s">
        <v>3</v>
      </c>
      <c r="Y7" s="28"/>
      <c r="AA7" s="27" t="s">
        <v>12</v>
      </c>
      <c r="AB7" s="17"/>
      <c r="AC7" s="2" t="s">
        <v>3</v>
      </c>
      <c r="AD7" s="28"/>
      <c r="AF7" s="27" t="s">
        <v>12</v>
      </c>
      <c r="AG7" s="17"/>
      <c r="AH7" s="2" t="s">
        <v>3</v>
      </c>
      <c r="AI7" s="28"/>
    </row>
    <row r="8" spans="2:35" x14ac:dyDescent="0.35">
      <c r="B8" s="27" t="s">
        <v>13</v>
      </c>
      <c r="C8" s="15"/>
      <c r="D8" s="2" t="s">
        <v>78</v>
      </c>
      <c r="E8" s="28"/>
      <c r="G8" s="27" t="s">
        <v>13</v>
      </c>
      <c r="H8" s="15"/>
      <c r="I8" s="2" t="s">
        <v>46</v>
      </c>
      <c r="J8" s="28"/>
      <c r="L8" s="27" t="s">
        <v>13</v>
      </c>
      <c r="M8" s="17"/>
      <c r="N8" s="2" t="s">
        <v>78</v>
      </c>
      <c r="O8" s="28"/>
      <c r="Q8" s="27" t="s">
        <v>13</v>
      </c>
      <c r="R8" s="17"/>
      <c r="S8" s="2" t="s">
        <v>4</v>
      </c>
      <c r="T8" s="28"/>
      <c r="V8" s="27" t="s">
        <v>13</v>
      </c>
      <c r="W8" s="17"/>
      <c r="X8" s="2" t="s">
        <v>4</v>
      </c>
      <c r="Y8" s="28"/>
      <c r="AA8" s="27" t="s">
        <v>13</v>
      </c>
      <c r="AB8" s="17"/>
      <c r="AC8" s="2" t="s">
        <v>4</v>
      </c>
      <c r="AD8" s="28"/>
      <c r="AF8" s="27" t="s">
        <v>13</v>
      </c>
      <c r="AG8" s="17"/>
      <c r="AH8" s="2" t="s">
        <v>4</v>
      </c>
      <c r="AI8" s="28"/>
    </row>
    <row r="9" spans="2:35" x14ac:dyDescent="0.35">
      <c r="B9" s="27" t="s">
        <v>71</v>
      </c>
      <c r="C9" s="15"/>
      <c r="D9" s="2" t="s">
        <v>56</v>
      </c>
      <c r="E9" s="28"/>
      <c r="G9" s="27" t="s">
        <v>71</v>
      </c>
      <c r="H9" s="15"/>
      <c r="I9" s="2" t="s">
        <v>38</v>
      </c>
      <c r="J9" s="28"/>
      <c r="L9" s="27" t="s">
        <v>71</v>
      </c>
      <c r="M9" s="17"/>
      <c r="N9" s="2" t="s">
        <v>56</v>
      </c>
      <c r="O9" s="28"/>
      <c r="Q9" s="27" t="s">
        <v>71</v>
      </c>
      <c r="R9" s="17"/>
      <c r="S9" s="2" t="s">
        <v>73</v>
      </c>
      <c r="T9" s="28"/>
      <c r="V9" s="27" t="s">
        <v>71</v>
      </c>
      <c r="W9" s="17"/>
      <c r="X9" s="2" t="s">
        <v>73</v>
      </c>
      <c r="Y9" s="28"/>
      <c r="AA9" s="27" t="s">
        <v>71</v>
      </c>
      <c r="AB9" s="17"/>
      <c r="AC9" s="2" t="s">
        <v>73</v>
      </c>
      <c r="AD9" s="28"/>
      <c r="AF9" s="27" t="s">
        <v>71</v>
      </c>
      <c r="AG9" s="17"/>
      <c r="AH9" s="2" t="s">
        <v>73</v>
      </c>
      <c r="AI9" s="28"/>
    </row>
    <row r="10" spans="2:35" x14ac:dyDescent="0.35">
      <c r="B10" s="27" t="s">
        <v>16</v>
      </c>
      <c r="C10" s="15"/>
      <c r="D10" s="2" t="s">
        <v>79</v>
      </c>
      <c r="E10" s="28"/>
      <c r="G10" s="27" t="s">
        <v>16</v>
      </c>
      <c r="H10" s="15"/>
      <c r="I10" s="2" t="s">
        <v>107</v>
      </c>
      <c r="J10" s="28"/>
      <c r="L10" s="27" t="s">
        <v>16</v>
      </c>
      <c r="M10" s="17"/>
      <c r="N10" s="2" t="s">
        <v>79</v>
      </c>
      <c r="O10" s="28"/>
      <c r="Q10" s="27" t="s">
        <v>16</v>
      </c>
      <c r="R10" s="17"/>
      <c r="S10" s="2" t="s">
        <v>5</v>
      </c>
      <c r="T10" s="28"/>
      <c r="V10" s="27" t="s">
        <v>16</v>
      </c>
      <c r="W10" s="17"/>
      <c r="X10" s="2" t="s">
        <v>5</v>
      </c>
      <c r="Y10" s="28"/>
      <c r="AA10" s="27" t="s">
        <v>16</v>
      </c>
      <c r="AB10" s="17"/>
      <c r="AC10" s="2" t="s">
        <v>5</v>
      </c>
      <c r="AD10" s="28"/>
      <c r="AF10" s="27" t="s">
        <v>16</v>
      </c>
      <c r="AG10" s="17"/>
      <c r="AH10" s="2" t="s">
        <v>5</v>
      </c>
      <c r="AI10" s="28"/>
    </row>
    <row r="11" spans="2:35" x14ac:dyDescent="0.35">
      <c r="B11" s="27" t="s">
        <v>23</v>
      </c>
      <c r="C11" s="15"/>
      <c r="D11" s="2" t="s">
        <v>80</v>
      </c>
      <c r="E11" s="28"/>
      <c r="G11" s="27" t="s">
        <v>23</v>
      </c>
      <c r="H11" s="15"/>
      <c r="I11" s="2" t="s">
        <v>108</v>
      </c>
      <c r="J11" s="28"/>
      <c r="L11" s="27" t="s">
        <v>23</v>
      </c>
      <c r="M11" s="17"/>
      <c r="N11" s="2" t="s">
        <v>80</v>
      </c>
      <c r="O11" s="28"/>
      <c r="Q11" s="29" t="s">
        <v>23</v>
      </c>
      <c r="R11" s="19"/>
      <c r="S11" s="2" t="s">
        <v>6</v>
      </c>
      <c r="T11" s="28"/>
      <c r="V11" s="27" t="s">
        <v>23</v>
      </c>
      <c r="W11" s="17"/>
      <c r="X11" s="2" t="s">
        <v>6</v>
      </c>
      <c r="Y11" s="28"/>
      <c r="AA11" s="27" t="s">
        <v>23</v>
      </c>
      <c r="AB11" s="17"/>
      <c r="AC11" s="2" t="s">
        <v>6</v>
      </c>
      <c r="AD11" s="28"/>
      <c r="AF11" s="27" t="s">
        <v>23</v>
      </c>
      <c r="AG11" s="17"/>
      <c r="AH11" s="2" t="s">
        <v>6</v>
      </c>
      <c r="AI11" s="28"/>
    </row>
    <row r="12" spans="2:35" x14ac:dyDescent="0.35">
      <c r="B12" s="27" t="s">
        <v>33</v>
      </c>
      <c r="C12" s="15"/>
      <c r="D12" s="2" t="s">
        <v>55</v>
      </c>
      <c r="E12" s="28"/>
      <c r="G12" s="27" t="s">
        <v>33</v>
      </c>
      <c r="H12" s="15"/>
      <c r="I12" s="2" t="s">
        <v>109</v>
      </c>
      <c r="J12" s="28"/>
      <c r="L12" s="27" t="s">
        <v>33</v>
      </c>
      <c r="M12" s="17"/>
      <c r="N12" s="2" t="s">
        <v>55</v>
      </c>
      <c r="O12" s="28"/>
      <c r="Q12" s="27" t="s">
        <v>33</v>
      </c>
      <c r="R12" s="17"/>
      <c r="S12" s="2" t="s">
        <v>7</v>
      </c>
      <c r="T12" s="28"/>
      <c r="V12" s="27" t="s">
        <v>33</v>
      </c>
      <c r="W12" s="17"/>
      <c r="X12" s="2" t="s">
        <v>7</v>
      </c>
      <c r="Y12" s="28"/>
      <c r="AA12" s="27" t="s">
        <v>33</v>
      </c>
      <c r="AB12" s="17"/>
      <c r="AC12" s="2" t="s">
        <v>7</v>
      </c>
      <c r="AD12" s="28"/>
      <c r="AF12" s="27" t="s">
        <v>33</v>
      </c>
      <c r="AG12" s="17"/>
      <c r="AH12" s="2" t="s">
        <v>7</v>
      </c>
      <c r="AI12" s="28"/>
    </row>
    <row r="13" spans="2:35" x14ac:dyDescent="0.35">
      <c r="B13" s="27" t="s">
        <v>14</v>
      </c>
      <c r="C13" s="15"/>
      <c r="D13" s="2" t="s">
        <v>81</v>
      </c>
      <c r="E13" s="28"/>
      <c r="G13" s="27" t="s">
        <v>14</v>
      </c>
      <c r="H13" s="15"/>
      <c r="I13" s="2" t="s">
        <v>44</v>
      </c>
      <c r="J13" s="28"/>
      <c r="L13" s="27" t="s">
        <v>14</v>
      </c>
      <c r="M13" s="17"/>
      <c r="N13" s="2" t="s">
        <v>81</v>
      </c>
      <c r="O13" s="28"/>
      <c r="Q13" s="27" t="s">
        <v>14</v>
      </c>
      <c r="R13" s="17"/>
      <c r="S13" s="2" t="s">
        <v>74</v>
      </c>
      <c r="T13" s="28"/>
      <c r="V13" s="27" t="s">
        <v>14</v>
      </c>
      <c r="W13" s="17"/>
      <c r="X13" s="2" t="s">
        <v>74</v>
      </c>
      <c r="Y13" s="28"/>
      <c r="AA13" s="27" t="s">
        <v>14</v>
      </c>
      <c r="AB13" s="17"/>
      <c r="AC13" s="2" t="s">
        <v>74</v>
      </c>
      <c r="AD13" s="28"/>
      <c r="AF13" s="27" t="s">
        <v>14</v>
      </c>
      <c r="AG13" s="17"/>
      <c r="AH13" s="2" t="s">
        <v>74</v>
      </c>
      <c r="AI13" s="28"/>
    </row>
    <row r="14" spans="2:35" x14ac:dyDescent="0.35">
      <c r="B14" s="27" t="s">
        <v>15</v>
      </c>
      <c r="C14" s="15"/>
      <c r="D14" s="2" t="s">
        <v>82</v>
      </c>
      <c r="E14" s="28"/>
      <c r="G14" s="27" t="s">
        <v>15</v>
      </c>
      <c r="H14" s="15"/>
      <c r="I14" s="2" t="s">
        <v>48</v>
      </c>
      <c r="J14" s="28"/>
      <c r="L14" s="27" t="s">
        <v>15</v>
      </c>
      <c r="M14" s="17"/>
      <c r="N14" s="2" t="s">
        <v>82</v>
      </c>
      <c r="O14" s="28"/>
      <c r="Q14" s="27" t="s">
        <v>15</v>
      </c>
      <c r="R14" s="17"/>
      <c r="S14" s="2" t="s">
        <v>8</v>
      </c>
      <c r="T14" s="28"/>
      <c r="V14" s="27" t="s">
        <v>15</v>
      </c>
      <c r="W14" s="17"/>
      <c r="X14" s="2" t="s">
        <v>8</v>
      </c>
      <c r="Y14" s="28"/>
      <c r="AA14" s="27" t="s">
        <v>15</v>
      </c>
      <c r="AB14" s="17"/>
      <c r="AC14" s="2" t="s">
        <v>8</v>
      </c>
      <c r="AD14" s="28"/>
      <c r="AF14" s="27" t="s">
        <v>15</v>
      </c>
      <c r="AG14" s="17"/>
      <c r="AH14" s="2" t="s">
        <v>8</v>
      </c>
      <c r="AI14" s="28"/>
    </row>
    <row r="15" spans="2:35" x14ac:dyDescent="0.35">
      <c r="B15" s="27" t="s">
        <v>72</v>
      </c>
      <c r="C15" s="15"/>
      <c r="D15" s="2" t="s">
        <v>83</v>
      </c>
      <c r="E15" s="28"/>
      <c r="G15" s="27" t="s">
        <v>72</v>
      </c>
      <c r="H15" s="15"/>
      <c r="I15" s="2" t="s">
        <v>41</v>
      </c>
      <c r="J15" s="28"/>
      <c r="L15" s="27" t="s">
        <v>72</v>
      </c>
      <c r="M15" s="17"/>
      <c r="N15" s="2" t="s">
        <v>83</v>
      </c>
      <c r="O15" s="28"/>
      <c r="Q15" s="27" t="s">
        <v>72</v>
      </c>
      <c r="R15" s="17"/>
      <c r="S15" s="2" t="s">
        <v>9</v>
      </c>
      <c r="T15" s="28"/>
      <c r="V15" s="27" t="s">
        <v>72</v>
      </c>
      <c r="W15" s="17"/>
      <c r="X15" s="2" t="s">
        <v>9</v>
      </c>
      <c r="Y15" s="28"/>
      <c r="AA15" s="27" t="s">
        <v>72</v>
      </c>
      <c r="AB15" s="17"/>
      <c r="AC15" s="2" t="s">
        <v>9</v>
      </c>
      <c r="AD15" s="28"/>
      <c r="AF15" s="27" t="s">
        <v>72</v>
      </c>
      <c r="AG15" s="17"/>
      <c r="AH15" s="2" t="s">
        <v>9</v>
      </c>
      <c r="AI15" s="28"/>
    </row>
    <row r="16" spans="2:35" x14ac:dyDescent="0.35">
      <c r="B16" s="27" t="s">
        <v>24</v>
      </c>
      <c r="C16" s="15"/>
      <c r="D16" s="2" t="s">
        <v>84</v>
      </c>
      <c r="E16" s="28"/>
      <c r="G16" s="27" t="s">
        <v>24</v>
      </c>
      <c r="H16" s="15"/>
      <c r="I16" s="2" t="s">
        <v>110</v>
      </c>
      <c r="J16" s="28"/>
      <c r="L16" s="27" t="s">
        <v>24</v>
      </c>
      <c r="M16" s="17"/>
      <c r="N16" s="2" t="s">
        <v>84</v>
      </c>
      <c r="O16" s="28"/>
      <c r="Q16" s="27" t="s">
        <v>24</v>
      </c>
      <c r="R16" s="17"/>
      <c r="S16" s="2" t="s">
        <v>10</v>
      </c>
      <c r="T16" s="28"/>
      <c r="V16" s="27" t="s">
        <v>24</v>
      </c>
      <c r="W16" s="17"/>
      <c r="X16" s="2" t="s">
        <v>10</v>
      </c>
      <c r="Y16" s="28"/>
      <c r="AA16" s="27" t="s">
        <v>24</v>
      </c>
      <c r="AB16" s="17"/>
      <c r="AC16" s="2" t="s">
        <v>10</v>
      </c>
      <c r="AD16" s="28"/>
      <c r="AF16" s="27" t="s">
        <v>24</v>
      </c>
      <c r="AG16" s="17"/>
      <c r="AH16" s="2" t="s">
        <v>10</v>
      </c>
      <c r="AI16" s="28"/>
    </row>
    <row r="17" spans="2:35" x14ac:dyDescent="0.35">
      <c r="B17" s="27" t="s">
        <v>17</v>
      </c>
      <c r="C17" s="15"/>
      <c r="D17" s="2" t="s">
        <v>85</v>
      </c>
      <c r="E17" s="28"/>
      <c r="G17" s="27" t="s">
        <v>17</v>
      </c>
      <c r="H17" s="15"/>
      <c r="I17" s="2" t="s">
        <v>111</v>
      </c>
      <c r="J17" s="28"/>
      <c r="L17" s="27" t="s">
        <v>17</v>
      </c>
      <c r="M17" s="17"/>
      <c r="N17" s="2" t="s">
        <v>85</v>
      </c>
      <c r="O17" s="28"/>
      <c r="Q17" s="27" t="s">
        <v>17</v>
      </c>
      <c r="R17" s="17"/>
      <c r="S17" s="2" t="s">
        <v>11</v>
      </c>
      <c r="T17" s="28"/>
      <c r="V17" s="27" t="s">
        <v>17</v>
      </c>
      <c r="W17" s="17"/>
      <c r="X17" s="2" t="s">
        <v>11</v>
      </c>
      <c r="Y17" s="28"/>
      <c r="AA17" s="27" t="s">
        <v>17</v>
      </c>
      <c r="AB17" s="17"/>
      <c r="AC17" s="2" t="s">
        <v>11</v>
      </c>
      <c r="AD17" s="28"/>
      <c r="AF17" s="27" t="s">
        <v>17</v>
      </c>
      <c r="AG17" s="17"/>
      <c r="AH17" s="2" t="s">
        <v>11</v>
      </c>
      <c r="AI17" s="28"/>
    </row>
    <row r="18" spans="2:35" x14ac:dyDescent="0.35">
      <c r="B18" s="27" t="s">
        <v>34</v>
      </c>
      <c r="C18" s="15"/>
      <c r="D18" s="3" t="s">
        <v>86</v>
      </c>
      <c r="E18" s="28"/>
      <c r="G18" s="27" t="s">
        <v>34</v>
      </c>
      <c r="H18" s="15"/>
      <c r="I18" s="3" t="s">
        <v>112</v>
      </c>
      <c r="J18" s="28"/>
      <c r="L18" s="27" t="s">
        <v>34</v>
      </c>
      <c r="M18" s="17"/>
      <c r="N18" s="2" t="s">
        <v>86</v>
      </c>
      <c r="O18" s="28"/>
      <c r="Q18" s="27" t="s">
        <v>34</v>
      </c>
      <c r="R18" s="17"/>
      <c r="S18" s="2" t="s">
        <v>64</v>
      </c>
      <c r="T18" s="28"/>
      <c r="V18" s="27" t="s">
        <v>34</v>
      </c>
      <c r="W18" s="17"/>
      <c r="X18" s="2" t="s">
        <v>64</v>
      </c>
      <c r="Y18" s="28"/>
      <c r="AA18" s="27" t="s">
        <v>34</v>
      </c>
      <c r="AB18" s="17"/>
      <c r="AC18" s="2" t="s">
        <v>64</v>
      </c>
      <c r="AD18" s="28"/>
      <c r="AF18" s="27" t="s">
        <v>34</v>
      </c>
      <c r="AG18" s="17"/>
      <c r="AH18" s="2" t="s">
        <v>64</v>
      </c>
      <c r="AI18" s="28"/>
    </row>
    <row r="19" spans="2:35" x14ac:dyDescent="0.35">
      <c r="B19" s="27" t="s">
        <v>22</v>
      </c>
      <c r="C19" s="15"/>
      <c r="D19" s="2" t="s">
        <v>87</v>
      </c>
      <c r="E19" s="28"/>
      <c r="G19" s="27" t="s">
        <v>22</v>
      </c>
      <c r="H19" s="15"/>
      <c r="I19" s="2" t="s">
        <v>42</v>
      </c>
      <c r="J19" s="28"/>
      <c r="L19" s="27" t="s">
        <v>22</v>
      </c>
      <c r="M19" s="17"/>
      <c r="N19" s="2" t="s">
        <v>87</v>
      </c>
      <c r="O19" s="28"/>
      <c r="Q19" s="27" t="s">
        <v>22</v>
      </c>
      <c r="R19" s="17"/>
      <c r="S19" s="2" t="s">
        <v>68</v>
      </c>
      <c r="T19" s="28"/>
      <c r="V19" s="27" t="s">
        <v>22</v>
      </c>
      <c r="W19" s="17"/>
      <c r="X19" s="2" t="s">
        <v>68</v>
      </c>
      <c r="Y19" s="28"/>
      <c r="AA19" s="27" t="s">
        <v>22</v>
      </c>
      <c r="AB19" s="17"/>
      <c r="AC19" s="2" t="s">
        <v>68</v>
      </c>
      <c r="AD19" s="28"/>
      <c r="AF19" s="27" t="s">
        <v>22</v>
      </c>
      <c r="AG19" s="17"/>
      <c r="AH19" s="2" t="s">
        <v>68</v>
      </c>
      <c r="AI19" s="28"/>
    </row>
    <row r="20" spans="2:35" x14ac:dyDescent="0.35">
      <c r="B20" s="27" t="s">
        <v>18</v>
      </c>
      <c r="C20" s="15"/>
      <c r="D20" s="2" t="s">
        <v>88</v>
      </c>
      <c r="E20" s="28"/>
      <c r="G20" s="27" t="s">
        <v>18</v>
      </c>
      <c r="H20" s="15"/>
      <c r="I20" s="2" t="s">
        <v>113</v>
      </c>
      <c r="J20" s="28"/>
      <c r="L20" s="27" t="s">
        <v>18</v>
      </c>
      <c r="M20" s="17"/>
      <c r="N20" s="2" t="s">
        <v>88</v>
      </c>
      <c r="O20" s="28"/>
      <c r="Q20" s="27" t="s">
        <v>18</v>
      </c>
      <c r="R20" s="17"/>
      <c r="S20" s="2" t="s">
        <v>65</v>
      </c>
      <c r="T20" s="28"/>
      <c r="V20" s="27" t="s">
        <v>18</v>
      </c>
      <c r="W20" s="17"/>
      <c r="X20" s="2" t="s">
        <v>65</v>
      </c>
      <c r="Y20" s="28"/>
      <c r="AA20" s="27" t="s">
        <v>18</v>
      </c>
      <c r="AB20" s="17"/>
      <c r="AC20" s="2" t="s">
        <v>65</v>
      </c>
      <c r="AD20" s="28"/>
      <c r="AF20" s="27" t="s">
        <v>18</v>
      </c>
      <c r="AG20" s="17"/>
      <c r="AH20" s="2" t="s">
        <v>65</v>
      </c>
      <c r="AI20" s="28"/>
    </row>
    <row r="21" spans="2:35" x14ac:dyDescent="0.35">
      <c r="B21" s="27" t="s">
        <v>19</v>
      </c>
      <c r="C21" s="15"/>
      <c r="D21" s="2" t="s">
        <v>89</v>
      </c>
      <c r="E21" s="28"/>
      <c r="G21" s="27" t="s">
        <v>19</v>
      </c>
      <c r="H21" s="15"/>
      <c r="I21" s="2" t="s">
        <v>114</v>
      </c>
      <c r="J21" s="28"/>
      <c r="L21" s="27" t="s">
        <v>19</v>
      </c>
      <c r="M21" s="17"/>
      <c r="N21" s="2" t="s">
        <v>89</v>
      </c>
      <c r="O21" s="28"/>
      <c r="Q21" s="27" t="s">
        <v>19</v>
      </c>
      <c r="R21" s="17"/>
      <c r="S21" s="2" t="s">
        <v>66</v>
      </c>
      <c r="T21" s="28"/>
      <c r="V21" s="27" t="s">
        <v>19</v>
      </c>
      <c r="W21" s="17"/>
      <c r="X21" s="2" t="s">
        <v>66</v>
      </c>
      <c r="Y21" s="28"/>
      <c r="AA21" s="27" t="s">
        <v>19</v>
      </c>
      <c r="AB21" s="17"/>
      <c r="AC21" s="2" t="s">
        <v>66</v>
      </c>
      <c r="AD21" s="28"/>
      <c r="AF21" s="27" t="s">
        <v>19</v>
      </c>
      <c r="AG21" s="17"/>
      <c r="AH21" s="2" t="s">
        <v>66</v>
      </c>
      <c r="AI21" s="28"/>
    </row>
    <row r="22" spans="2:35" x14ac:dyDescent="0.35">
      <c r="B22" s="27" t="s">
        <v>20</v>
      </c>
      <c r="C22" s="15"/>
      <c r="D22" s="2" t="s">
        <v>90</v>
      </c>
      <c r="E22" s="28"/>
      <c r="G22" s="27" t="s">
        <v>20</v>
      </c>
      <c r="H22" s="15"/>
      <c r="I22" s="2" t="s">
        <v>115</v>
      </c>
      <c r="J22" s="28"/>
      <c r="L22" s="27" t="s">
        <v>20</v>
      </c>
      <c r="M22" s="17"/>
      <c r="N22" s="2" t="s">
        <v>90</v>
      </c>
      <c r="O22" s="28"/>
      <c r="Q22" s="27" t="s">
        <v>20</v>
      </c>
      <c r="R22" s="17"/>
      <c r="S22" s="2" t="s">
        <v>67</v>
      </c>
      <c r="T22" s="28"/>
      <c r="V22" s="27" t="s">
        <v>20</v>
      </c>
      <c r="W22" s="17"/>
      <c r="X22" s="2" t="s">
        <v>67</v>
      </c>
      <c r="Y22" s="28"/>
      <c r="AA22" s="27" t="s">
        <v>20</v>
      </c>
      <c r="AB22" s="17"/>
      <c r="AC22" s="2" t="s">
        <v>67</v>
      </c>
      <c r="AD22" s="28"/>
      <c r="AF22" s="27" t="s">
        <v>20</v>
      </c>
      <c r="AG22" s="17"/>
      <c r="AH22" s="2" t="s">
        <v>67</v>
      </c>
      <c r="AI22" s="28"/>
    </row>
    <row r="23" spans="2:35" x14ac:dyDescent="0.35">
      <c r="B23" s="27" t="s">
        <v>0</v>
      </c>
      <c r="C23" s="15"/>
      <c r="D23" s="2" t="s">
        <v>91</v>
      </c>
      <c r="E23" s="28"/>
      <c r="G23" s="27" t="s">
        <v>0</v>
      </c>
      <c r="H23" s="15"/>
      <c r="I23" s="2" t="s">
        <v>47</v>
      </c>
      <c r="J23" s="28"/>
      <c r="L23" s="27" t="s">
        <v>0</v>
      </c>
      <c r="M23" s="17"/>
      <c r="N23" s="2" t="s">
        <v>91</v>
      </c>
      <c r="O23" s="28"/>
      <c r="Q23" s="27" t="s">
        <v>0</v>
      </c>
      <c r="R23" s="17"/>
      <c r="S23" s="2" t="s">
        <v>69</v>
      </c>
      <c r="T23" s="28"/>
      <c r="V23" s="27" t="s">
        <v>0</v>
      </c>
      <c r="W23" s="17"/>
      <c r="X23" s="2" t="s">
        <v>69</v>
      </c>
      <c r="Y23" s="28"/>
      <c r="AA23" s="27" t="s">
        <v>0</v>
      </c>
      <c r="AB23" s="17"/>
      <c r="AC23" s="2" t="s">
        <v>69</v>
      </c>
      <c r="AD23" s="28"/>
      <c r="AF23" s="27" t="s">
        <v>0</v>
      </c>
      <c r="AG23" s="17"/>
      <c r="AH23" s="2" t="s">
        <v>69</v>
      </c>
      <c r="AI23" s="28"/>
    </row>
    <row r="24" spans="2:35" x14ac:dyDescent="0.35">
      <c r="B24" s="27" t="s">
        <v>21</v>
      </c>
      <c r="C24" s="15"/>
      <c r="D24" s="2" t="s">
        <v>92</v>
      </c>
      <c r="E24" s="28"/>
      <c r="G24" s="27" t="s">
        <v>21</v>
      </c>
      <c r="H24" s="15"/>
      <c r="I24" s="2" t="s">
        <v>116</v>
      </c>
      <c r="J24" s="28"/>
      <c r="L24" s="27" t="s">
        <v>21</v>
      </c>
      <c r="M24" s="17"/>
      <c r="N24" s="2" t="s">
        <v>92</v>
      </c>
      <c r="O24" s="28"/>
      <c r="Q24" s="27" t="s">
        <v>21</v>
      </c>
      <c r="R24" s="17"/>
      <c r="S24" s="2" t="s">
        <v>70</v>
      </c>
      <c r="T24" s="28"/>
      <c r="V24" s="27" t="s">
        <v>21</v>
      </c>
      <c r="W24" s="17"/>
      <c r="X24" s="2" t="s">
        <v>70</v>
      </c>
      <c r="Y24" s="28"/>
      <c r="AA24" s="27" t="s">
        <v>21</v>
      </c>
      <c r="AB24" s="17"/>
      <c r="AC24" s="2" t="s">
        <v>70</v>
      </c>
      <c r="AD24" s="28"/>
      <c r="AF24" s="27" t="s">
        <v>21</v>
      </c>
      <c r="AG24" s="17"/>
      <c r="AH24" s="2" t="s">
        <v>70</v>
      </c>
      <c r="AI24" s="28"/>
    </row>
    <row r="25" spans="2:35" x14ac:dyDescent="0.35">
      <c r="B25" s="27" t="s">
        <v>35</v>
      </c>
      <c r="C25" s="15"/>
      <c r="D25" s="2" t="s">
        <v>93</v>
      </c>
      <c r="E25" s="28"/>
      <c r="G25" s="27" t="s">
        <v>35</v>
      </c>
      <c r="H25" s="15"/>
      <c r="I25" s="2" t="s">
        <v>117</v>
      </c>
      <c r="J25" s="28"/>
      <c r="L25" s="27" t="s">
        <v>35</v>
      </c>
      <c r="M25" s="17"/>
      <c r="N25" s="2" t="s">
        <v>93</v>
      </c>
      <c r="O25" s="28"/>
      <c r="Q25" s="27" t="s">
        <v>35</v>
      </c>
      <c r="R25" s="17"/>
      <c r="S25" s="2" t="s">
        <v>103</v>
      </c>
      <c r="T25" s="28"/>
      <c r="V25" s="27" t="s">
        <v>35</v>
      </c>
      <c r="W25" s="17"/>
      <c r="X25" s="2" t="s">
        <v>103</v>
      </c>
      <c r="Y25" s="28"/>
      <c r="AA25" s="27" t="s">
        <v>35</v>
      </c>
      <c r="AB25" s="17"/>
      <c r="AC25" s="2" t="s">
        <v>103</v>
      </c>
      <c r="AD25" s="28"/>
      <c r="AF25" s="27" t="s">
        <v>35</v>
      </c>
      <c r="AG25" s="17"/>
      <c r="AH25" s="2" t="s">
        <v>103</v>
      </c>
      <c r="AI25" s="28"/>
    </row>
    <row r="26" spans="2:35" x14ac:dyDescent="0.35">
      <c r="B26" s="27" t="s">
        <v>25</v>
      </c>
      <c r="C26" s="15"/>
      <c r="D26" s="2" t="s">
        <v>58</v>
      </c>
      <c r="E26" s="28"/>
      <c r="G26" s="27" t="s">
        <v>25</v>
      </c>
      <c r="H26" s="15"/>
      <c r="I26" s="2" t="s">
        <v>45</v>
      </c>
      <c r="J26" s="28"/>
      <c r="L26" s="27" t="s">
        <v>25</v>
      </c>
      <c r="M26" s="17"/>
      <c r="N26" s="2" t="s">
        <v>58</v>
      </c>
      <c r="O26" s="28"/>
      <c r="Q26" s="27" t="s">
        <v>25</v>
      </c>
      <c r="R26" s="17"/>
      <c r="T26" s="31"/>
      <c r="V26" s="29" t="s">
        <v>25</v>
      </c>
      <c r="W26" s="17"/>
      <c r="Y26" s="31"/>
      <c r="AA26" s="27" t="s">
        <v>25</v>
      </c>
      <c r="AB26" s="17"/>
      <c r="AC26" s="2" t="s">
        <v>125</v>
      </c>
      <c r="AD26" s="28"/>
      <c r="AF26" s="27" t="s">
        <v>25</v>
      </c>
      <c r="AG26" s="17"/>
      <c r="AH26" s="2" t="s">
        <v>125</v>
      </c>
      <c r="AI26" s="28"/>
    </row>
    <row r="27" spans="2:35" x14ac:dyDescent="0.35">
      <c r="B27" s="27" t="s">
        <v>26</v>
      </c>
      <c r="C27" s="15"/>
      <c r="D27" s="2" t="s">
        <v>94</v>
      </c>
      <c r="E27" s="28"/>
      <c r="G27" s="27" t="s">
        <v>26</v>
      </c>
      <c r="H27" s="15"/>
      <c r="I27" s="2" t="s">
        <v>118</v>
      </c>
      <c r="J27" s="28"/>
      <c r="L27" s="27" t="s">
        <v>26</v>
      </c>
      <c r="M27" s="17"/>
      <c r="N27" s="2" t="s">
        <v>94</v>
      </c>
      <c r="O27" s="28"/>
      <c r="Q27" s="27" t="s">
        <v>26</v>
      </c>
      <c r="R27" s="17"/>
      <c r="T27" s="31"/>
      <c r="V27" s="27" t="s">
        <v>26</v>
      </c>
      <c r="W27" s="17"/>
      <c r="Y27" s="31"/>
      <c r="AA27" s="27" t="s">
        <v>26</v>
      </c>
      <c r="AB27" s="17"/>
      <c r="AC27" s="2" t="s">
        <v>126</v>
      </c>
      <c r="AD27" s="28"/>
      <c r="AF27" s="27" t="s">
        <v>26</v>
      </c>
      <c r="AG27" s="17"/>
      <c r="AH27" s="2" t="s">
        <v>126</v>
      </c>
      <c r="AI27" s="28"/>
    </row>
    <row r="28" spans="2:35" x14ac:dyDescent="0.35">
      <c r="B28" s="27" t="s">
        <v>14</v>
      </c>
      <c r="C28" s="15"/>
      <c r="D28" s="2" t="s">
        <v>60</v>
      </c>
      <c r="E28" s="28"/>
      <c r="G28" s="27" t="s">
        <v>14</v>
      </c>
      <c r="H28" s="15"/>
      <c r="I28" s="2" t="s">
        <v>119</v>
      </c>
      <c r="J28" s="28"/>
      <c r="L28" s="27" t="s">
        <v>14</v>
      </c>
      <c r="M28" s="17"/>
      <c r="N28" s="2" t="s">
        <v>60</v>
      </c>
      <c r="O28" s="28"/>
      <c r="Q28" s="27" t="s">
        <v>14</v>
      </c>
      <c r="R28" s="17"/>
      <c r="T28" s="31"/>
      <c r="V28" s="27" t="s">
        <v>14</v>
      </c>
      <c r="W28" s="17"/>
      <c r="Y28" s="31"/>
      <c r="AA28" s="27" t="s">
        <v>14</v>
      </c>
      <c r="AB28" s="17"/>
      <c r="AC28" s="2" t="s">
        <v>127</v>
      </c>
      <c r="AD28" s="28"/>
      <c r="AF28" s="27" t="s">
        <v>14</v>
      </c>
      <c r="AG28" s="17"/>
      <c r="AH28" s="2" t="s">
        <v>127</v>
      </c>
      <c r="AI28" s="28"/>
    </row>
    <row r="29" spans="2:35" x14ac:dyDescent="0.35">
      <c r="B29" s="27" t="s">
        <v>36</v>
      </c>
      <c r="C29" s="15"/>
      <c r="D29" s="2" t="s">
        <v>61</v>
      </c>
      <c r="E29" s="28"/>
      <c r="G29" s="27" t="s">
        <v>36</v>
      </c>
      <c r="H29" s="15"/>
      <c r="I29" s="2" t="s">
        <v>120</v>
      </c>
      <c r="J29" s="28"/>
      <c r="L29" s="27" t="s">
        <v>36</v>
      </c>
      <c r="M29" s="17"/>
      <c r="N29" s="2" t="s">
        <v>61</v>
      </c>
      <c r="O29" s="28"/>
      <c r="Q29" s="27" t="s">
        <v>36</v>
      </c>
      <c r="R29" s="17"/>
      <c r="T29" s="31"/>
      <c r="V29" s="27" t="s">
        <v>36</v>
      </c>
      <c r="W29" s="17"/>
      <c r="Y29" s="31"/>
      <c r="AA29" s="27" t="s">
        <v>36</v>
      </c>
      <c r="AB29" s="17"/>
      <c r="AC29" s="2" t="s">
        <v>128</v>
      </c>
      <c r="AD29" s="28"/>
      <c r="AF29" s="27" t="s">
        <v>36</v>
      </c>
      <c r="AG29" s="17"/>
      <c r="AH29" s="2" t="s">
        <v>128</v>
      </c>
      <c r="AI29" s="28"/>
    </row>
    <row r="30" spans="2:35" x14ac:dyDescent="0.35">
      <c r="B30" s="27" t="s">
        <v>37</v>
      </c>
      <c r="C30" s="15"/>
      <c r="D30" s="2" t="s">
        <v>95</v>
      </c>
      <c r="E30" s="28"/>
      <c r="G30" s="27" t="s">
        <v>37</v>
      </c>
      <c r="H30" s="15"/>
      <c r="I30" s="2" t="s">
        <v>121</v>
      </c>
      <c r="J30" s="28"/>
      <c r="L30" s="27" t="s">
        <v>37</v>
      </c>
      <c r="M30" s="17"/>
      <c r="N30" s="2" t="s">
        <v>95</v>
      </c>
      <c r="O30" s="28"/>
      <c r="Q30" s="27" t="s">
        <v>37</v>
      </c>
      <c r="R30" s="17"/>
      <c r="T30" s="31"/>
      <c r="V30" s="27" t="s">
        <v>37</v>
      </c>
      <c r="W30" s="17"/>
      <c r="Y30" s="31"/>
      <c r="AA30" s="27" t="s">
        <v>37</v>
      </c>
      <c r="AB30" s="17"/>
      <c r="AC30" s="2" t="s">
        <v>129</v>
      </c>
      <c r="AD30" s="28"/>
      <c r="AF30" s="27" t="s">
        <v>37</v>
      </c>
      <c r="AG30" s="17"/>
      <c r="AH30" s="2" t="s">
        <v>129</v>
      </c>
      <c r="AI30" s="28"/>
    </row>
    <row r="31" spans="2:35" x14ac:dyDescent="0.35">
      <c r="B31" s="27" t="s">
        <v>28</v>
      </c>
      <c r="C31" s="15"/>
      <c r="D31" s="2" t="s">
        <v>96</v>
      </c>
      <c r="E31" s="28"/>
      <c r="G31" s="27" t="s">
        <v>28</v>
      </c>
      <c r="H31" s="15"/>
      <c r="I31" s="2" t="s">
        <v>52</v>
      </c>
      <c r="J31" s="28"/>
      <c r="L31" s="27" t="s">
        <v>28</v>
      </c>
      <c r="M31" s="17"/>
      <c r="N31" s="2" t="s">
        <v>96</v>
      </c>
      <c r="O31" s="28"/>
      <c r="Q31" s="27" t="s">
        <v>28</v>
      </c>
      <c r="R31" s="17"/>
      <c r="T31" s="31"/>
      <c r="V31" s="27" t="s">
        <v>28</v>
      </c>
      <c r="W31" s="17"/>
      <c r="Y31" s="31"/>
      <c r="AA31" s="27" t="s">
        <v>28</v>
      </c>
      <c r="AB31" s="17"/>
      <c r="AC31" s="2" t="s">
        <v>130</v>
      </c>
      <c r="AD31" s="28"/>
      <c r="AF31" s="27" t="s">
        <v>28</v>
      </c>
      <c r="AG31" s="17"/>
      <c r="AH31" s="2" t="s">
        <v>130</v>
      </c>
      <c r="AI31" s="28"/>
    </row>
    <row r="32" spans="2:35" x14ac:dyDescent="0.35">
      <c r="B32" s="27" t="s">
        <v>51</v>
      </c>
      <c r="C32" s="15"/>
      <c r="D32" s="2" t="s">
        <v>97</v>
      </c>
      <c r="E32" s="28"/>
      <c r="G32" s="27" t="s">
        <v>51</v>
      </c>
      <c r="H32" s="15"/>
      <c r="I32" s="2" t="s">
        <v>122</v>
      </c>
      <c r="J32" s="28"/>
      <c r="L32" s="27" t="s">
        <v>51</v>
      </c>
      <c r="M32" s="17"/>
      <c r="N32" s="2" t="s">
        <v>97</v>
      </c>
      <c r="O32" s="28"/>
      <c r="Q32" s="27" t="s">
        <v>51</v>
      </c>
      <c r="R32" s="17"/>
      <c r="T32" s="31"/>
      <c r="V32" s="27" t="s">
        <v>51</v>
      </c>
      <c r="W32" s="17"/>
      <c r="Y32" s="31"/>
      <c r="AA32" s="27" t="s">
        <v>51</v>
      </c>
      <c r="AB32" s="17"/>
      <c r="AC32" s="2" t="s">
        <v>75</v>
      </c>
      <c r="AD32" s="28"/>
      <c r="AF32" s="27" t="s">
        <v>51</v>
      </c>
      <c r="AG32" s="17"/>
      <c r="AH32" s="2" t="s">
        <v>75</v>
      </c>
      <c r="AI32" s="28"/>
    </row>
    <row r="33" spans="2:35" x14ac:dyDescent="0.35">
      <c r="B33" s="27" t="s">
        <v>38</v>
      </c>
      <c r="C33" s="15"/>
      <c r="D33" s="2" t="s">
        <v>82</v>
      </c>
      <c r="E33" s="28"/>
      <c r="G33" s="27" t="s">
        <v>38</v>
      </c>
      <c r="H33" s="15"/>
      <c r="I33" s="2" t="s">
        <v>123</v>
      </c>
      <c r="J33" s="28"/>
      <c r="L33" s="27" t="s">
        <v>38</v>
      </c>
      <c r="M33" s="17"/>
      <c r="N33" s="2" t="s">
        <v>82</v>
      </c>
      <c r="O33" s="28"/>
      <c r="Q33" s="27" t="s">
        <v>38</v>
      </c>
      <c r="R33" s="17"/>
      <c r="T33" s="31"/>
      <c r="V33" s="27" t="s">
        <v>38</v>
      </c>
      <c r="W33" s="17"/>
      <c r="Y33" s="31"/>
      <c r="AA33" s="27" t="s">
        <v>38</v>
      </c>
      <c r="AB33" s="17"/>
      <c r="AC33" s="2" t="s">
        <v>76</v>
      </c>
      <c r="AD33" s="28"/>
      <c r="AF33" s="27" t="s">
        <v>38</v>
      </c>
      <c r="AG33" s="17"/>
      <c r="AH33" s="2" t="s">
        <v>76</v>
      </c>
      <c r="AI33" s="28"/>
    </row>
    <row r="34" spans="2:35" x14ac:dyDescent="0.35">
      <c r="B34" s="27" t="s">
        <v>39</v>
      </c>
      <c r="C34" s="15"/>
      <c r="D34" s="2" t="s">
        <v>98</v>
      </c>
      <c r="E34" s="28"/>
      <c r="G34" s="29" t="s">
        <v>39</v>
      </c>
      <c r="H34" s="15"/>
      <c r="J34" s="30"/>
      <c r="L34" s="27" t="s">
        <v>39</v>
      </c>
      <c r="M34" s="17"/>
      <c r="N34" s="2" t="s">
        <v>98</v>
      </c>
      <c r="O34" s="28"/>
      <c r="Q34" s="27" t="s">
        <v>39</v>
      </c>
      <c r="R34" s="17"/>
      <c r="T34" s="31"/>
      <c r="V34" s="27" t="s">
        <v>39</v>
      </c>
      <c r="W34" s="17"/>
      <c r="Y34" s="31"/>
      <c r="AA34" s="27" t="s">
        <v>39</v>
      </c>
      <c r="AB34" s="17"/>
      <c r="AC34" s="2" t="s">
        <v>77</v>
      </c>
      <c r="AD34" s="28"/>
      <c r="AF34" s="27" t="s">
        <v>39</v>
      </c>
      <c r="AG34" s="17"/>
      <c r="AH34" s="2" t="s">
        <v>77</v>
      </c>
      <c r="AI34" s="28"/>
    </row>
    <row r="35" spans="2:35" x14ac:dyDescent="0.35">
      <c r="B35" s="27" t="s">
        <v>40</v>
      </c>
      <c r="C35" s="15"/>
      <c r="D35" s="2" t="s">
        <v>99</v>
      </c>
      <c r="E35" s="28"/>
      <c r="G35" s="27" t="s">
        <v>40</v>
      </c>
      <c r="H35" s="15"/>
      <c r="J35" s="30"/>
      <c r="L35" s="27" t="s">
        <v>40</v>
      </c>
      <c r="M35" s="17"/>
      <c r="N35" s="2" t="s">
        <v>99</v>
      </c>
      <c r="O35" s="28"/>
      <c r="Q35" s="27" t="s">
        <v>40</v>
      </c>
      <c r="R35" s="17"/>
      <c r="T35" s="31"/>
      <c r="V35" s="27" t="s">
        <v>40</v>
      </c>
      <c r="W35" s="17"/>
      <c r="Y35" s="31"/>
      <c r="AA35" s="27" t="s">
        <v>40</v>
      </c>
      <c r="AB35" s="17"/>
      <c r="AC35" s="2" t="s">
        <v>78</v>
      </c>
      <c r="AD35" s="28"/>
      <c r="AF35" s="27" t="s">
        <v>40</v>
      </c>
      <c r="AG35" s="17"/>
      <c r="AH35" s="2" t="s">
        <v>78</v>
      </c>
      <c r="AI35" s="28"/>
    </row>
    <row r="36" spans="2:35" x14ac:dyDescent="0.35">
      <c r="B36" s="27" t="s">
        <v>41</v>
      </c>
      <c r="C36" s="15"/>
      <c r="D36" s="2" t="s">
        <v>100</v>
      </c>
      <c r="E36" s="28"/>
      <c r="G36" s="27" t="s">
        <v>41</v>
      </c>
      <c r="H36" s="15"/>
      <c r="J36" s="30"/>
      <c r="L36" s="27" t="s">
        <v>41</v>
      </c>
      <c r="M36" s="17"/>
      <c r="N36" s="2" t="s">
        <v>100</v>
      </c>
      <c r="O36" s="28"/>
      <c r="Q36" s="27" t="s">
        <v>41</v>
      </c>
      <c r="R36" s="17"/>
      <c r="T36" s="31"/>
      <c r="V36" s="27" t="s">
        <v>41</v>
      </c>
      <c r="W36" s="17"/>
      <c r="Y36" s="31"/>
      <c r="AA36" s="27" t="s">
        <v>41</v>
      </c>
      <c r="AB36" s="17"/>
      <c r="AC36" s="2" t="s">
        <v>56</v>
      </c>
      <c r="AD36" s="28"/>
      <c r="AF36" s="27" t="s">
        <v>41</v>
      </c>
      <c r="AG36" s="17"/>
      <c r="AH36" s="2" t="s">
        <v>56</v>
      </c>
      <c r="AI36" s="28"/>
    </row>
    <row r="37" spans="2:35" x14ac:dyDescent="0.35">
      <c r="B37" s="27" t="s">
        <v>42</v>
      </c>
      <c r="C37" s="15"/>
      <c r="D37" s="2" t="s">
        <v>132</v>
      </c>
      <c r="E37" s="28"/>
      <c r="G37" s="27" t="s">
        <v>42</v>
      </c>
      <c r="H37" s="15"/>
      <c r="J37" s="30"/>
      <c r="L37" s="27" t="s">
        <v>42</v>
      </c>
      <c r="M37" s="17"/>
      <c r="N37" s="2" t="s">
        <v>132</v>
      </c>
      <c r="O37" s="28"/>
      <c r="Q37" s="27" t="s">
        <v>42</v>
      </c>
      <c r="R37" s="17"/>
      <c r="T37" s="31"/>
      <c r="V37" s="27" t="s">
        <v>42</v>
      </c>
      <c r="W37" s="17"/>
      <c r="Y37" s="31"/>
      <c r="AA37" s="27" t="s">
        <v>42</v>
      </c>
      <c r="AB37" s="17"/>
      <c r="AC37" s="2" t="s">
        <v>79</v>
      </c>
      <c r="AD37" s="28"/>
      <c r="AF37" s="27" t="s">
        <v>42</v>
      </c>
      <c r="AG37" s="17"/>
      <c r="AH37" s="2" t="s">
        <v>79</v>
      </c>
      <c r="AI37" s="28"/>
    </row>
    <row r="38" spans="2:35" x14ac:dyDescent="0.35">
      <c r="B38" s="27" t="s">
        <v>43</v>
      </c>
      <c r="C38" s="15"/>
      <c r="D38" s="2" t="s">
        <v>101</v>
      </c>
      <c r="E38" s="28"/>
      <c r="G38" s="27" t="s">
        <v>43</v>
      </c>
      <c r="H38" s="15"/>
      <c r="J38" s="30"/>
      <c r="L38" s="27" t="s">
        <v>43</v>
      </c>
      <c r="M38" s="17"/>
      <c r="N38" s="2" t="s">
        <v>101</v>
      </c>
      <c r="O38" s="28"/>
      <c r="Q38" s="27" t="s">
        <v>43</v>
      </c>
      <c r="R38" s="17"/>
      <c r="T38" s="31"/>
      <c r="V38" s="27" t="s">
        <v>43</v>
      </c>
      <c r="W38" s="17"/>
      <c r="Y38" s="31"/>
      <c r="AA38" s="27" t="s">
        <v>43</v>
      </c>
      <c r="AB38" s="17"/>
      <c r="AC38" s="2" t="s">
        <v>80</v>
      </c>
      <c r="AD38" s="28"/>
      <c r="AF38" s="27" t="s">
        <v>43</v>
      </c>
      <c r="AG38" s="17"/>
      <c r="AH38" s="2" t="s">
        <v>80</v>
      </c>
      <c r="AI38" s="28"/>
    </row>
    <row r="39" spans="2:35" x14ac:dyDescent="0.35">
      <c r="B39" s="27" t="s">
        <v>44</v>
      </c>
      <c r="C39" s="15"/>
      <c r="D39" s="2" t="s">
        <v>102</v>
      </c>
      <c r="E39" s="28"/>
      <c r="G39" s="27" t="s">
        <v>44</v>
      </c>
      <c r="H39" s="15"/>
      <c r="J39" s="30"/>
      <c r="L39" s="27" t="s">
        <v>44</v>
      </c>
      <c r="M39" s="17"/>
      <c r="N39" s="2" t="s">
        <v>102</v>
      </c>
      <c r="O39" s="28"/>
      <c r="Q39" s="27" t="s">
        <v>44</v>
      </c>
      <c r="R39" s="17"/>
      <c r="T39" s="31"/>
      <c r="V39" s="27" t="s">
        <v>44</v>
      </c>
      <c r="W39" s="17"/>
      <c r="Y39" s="31"/>
      <c r="AA39" s="27" t="s">
        <v>44</v>
      </c>
      <c r="AB39" s="17"/>
      <c r="AC39" s="2" t="s">
        <v>105</v>
      </c>
      <c r="AD39" s="28"/>
      <c r="AF39" s="27" t="s">
        <v>44</v>
      </c>
      <c r="AG39" s="17"/>
      <c r="AH39" s="2" t="s">
        <v>105</v>
      </c>
      <c r="AI39" s="28"/>
    </row>
    <row r="40" spans="2:35" x14ac:dyDescent="0.35">
      <c r="B40" s="27" t="s">
        <v>45</v>
      </c>
      <c r="C40" s="15"/>
      <c r="D40" s="2"/>
      <c r="E40" s="28"/>
      <c r="G40" s="27" t="s">
        <v>45</v>
      </c>
      <c r="H40" s="15"/>
      <c r="J40" s="30"/>
      <c r="L40" s="29" t="s">
        <v>45</v>
      </c>
      <c r="M40" s="17"/>
      <c r="O40" s="31"/>
      <c r="Q40" s="27" t="s">
        <v>45</v>
      </c>
      <c r="R40" s="17"/>
      <c r="T40" s="31"/>
      <c r="V40" s="27" t="s">
        <v>45</v>
      </c>
      <c r="W40" s="17"/>
      <c r="Y40" s="31"/>
      <c r="AA40" s="27" t="s">
        <v>45</v>
      </c>
      <c r="AB40" s="17"/>
      <c r="AC40" s="2" t="s">
        <v>0</v>
      </c>
      <c r="AD40" s="28"/>
      <c r="AF40" s="27" t="s">
        <v>45</v>
      </c>
      <c r="AG40" s="17"/>
      <c r="AH40" s="2" t="s">
        <v>0</v>
      </c>
      <c r="AI40" s="28"/>
    </row>
    <row r="41" spans="2:35" x14ac:dyDescent="0.35">
      <c r="B41" s="27" t="s">
        <v>46</v>
      </c>
      <c r="C41" s="15"/>
      <c r="D41" s="2"/>
      <c r="E41" s="28"/>
      <c r="G41" s="27" t="s">
        <v>46</v>
      </c>
      <c r="H41" s="15"/>
      <c r="J41" s="30"/>
      <c r="L41" s="27" t="s">
        <v>46</v>
      </c>
      <c r="M41" s="17"/>
      <c r="O41" s="31"/>
      <c r="Q41" s="27" t="s">
        <v>46</v>
      </c>
      <c r="R41" s="17"/>
      <c r="T41" s="31"/>
      <c r="V41" s="27" t="s">
        <v>46</v>
      </c>
      <c r="W41" s="17"/>
      <c r="Y41" s="31"/>
      <c r="AA41" s="27" t="s">
        <v>46</v>
      </c>
      <c r="AB41" s="17"/>
      <c r="AC41" s="2" t="s">
        <v>106</v>
      </c>
      <c r="AD41" s="28"/>
      <c r="AF41" s="27" t="s">
        <v>46</v>
      </c>
      <c r="AG41" s="17"/>
      <c r="AH41" s="2" t="s">
        <v>106</v>
      </c>
      <c r="AI41" s="28"/>
    </row>
    <row r="42" spans="2:35" x14ac:dyDescent="0.35">
      <c r="B42" s="27" t="s">
        <v>47</v>
      </c>
      <c r="C42" s="15"/>
      <c r="D42" s="2"/>
      <c r="E42" s="28"/>
      <c r="G42" s="27" t="s">
        <v>47</v>
      </c>
      <c r="H42" s="15"/>
      <c r="I42" s="10"/>
      <c r="J42" s="30"/>
      <c r="L42" s="27" t="s">
        <v>47</v>
      </c>
      <c r="M42" s="17"/>
      <c r="O42" s="31"/>
      <c r="Q42" s="27" t="s">
        <v>47</v>
      </c>
      <c r="R42" s="17"/>
      <c r="T42" s="31"/>
      <c r="V42" s="27" t="s">
        <v>47</v>
      </c>
      <c r="W42" s="17"/>
      <c r="Y42" s="31"/>
      <c r="AA42" s="27" t="s">
        <v>47</v>
      </c>
      <c r="AB42" s="17"/>
      <c r="AC42" s="2" t="s">
        <v>46</v>
      </c>
      <c r="AD42" s="28"/>
      <c r="AF42" s="27" t="s">
        <v>47</v>
      </c>
      <c r="AG42" s="17"/>
      <c r="AH42" s="2" t="s">
        <v>46</v>
      </c>
      <c r="AI42" s="28"/>
    </row>
    <row r="43" spans="2:35" x14ac:dyDescent="0.35">
      <c r="B43" s="27" t="s">
        <v>48</v>
      </c>
      <c r="C43" s="15"/>
      <c r="D43" s="2"/>
      <c r="E43" s="28"/>
      <c r="G43" s="27" t="s">
        <v>48</v>
      </c>
      <c r="H43" s="15"/>
      <c r="J43" s="30"/>
      <c r="L43" s="27" t="s">
        <v>48</v>
      </c>
      <c r="M43" s="17"/>
      <c r="O43" s="31"/>
      <c r="Q43" s="27" t="s">
        <v>48</v>
      </c>
      <c r="R43" s="17"/>
      <c r="T43" s="31"/>
      <c r="V43" s="27" t="s">
        <v>48</v>
      </c>
      <c r="W43" s="17"/>
      <c r="Y43" s="31"/>
      <c r="AA43" s="27" t="s">
        <v>48</v>
      </c>
      <c r="AB43" s="17"/>
      <c r="AC43" s="2" t="s">
        <v>38</v>
      </c>
      <c r="AD43" s="28"/>
      <c r="AF43" s="27" t="s">
        <v>48</v>
      </c>
      <c r="AG43" s="17"/>
      <c r="AH43" s="2" t="s">
        <v>38</v>
      </c>
      <c r="AI43" s="28"/>
    </row>
    <row r="44" spans="2:35" x14ac:dyDescent="0.35">
      <c r="B44" s="27" t="s">
        <v>49</v>
      </c>
      <c r="C44" s="15"/>
      <c r="D44" s="2"/>
      <c r="E44" s="28"/>
      <c r="G44" s="27" t="s">
        <v>49</v>
      </c>
      <c r="H44" s="15"/>
      <c r="J44" s="30"/>
      <c r="L44" s="27" t="s">
        <v>49</v>
      </c>
      <c r="M44" s="17"/>
      <c r="O44" s="31"/>
      <c r="Q44" s="27" t="s">
        <v>49</v>
      </c>
      <c r="R44" s="17"/>
      <c r="T44" s="31"/>
      <c r="V44" s="27" t="s">
        <v>49</v>
      </c>
      <c r="W44" s="17"/>
      <c r="Y44" s="31"/>
      <c r="AA44" s="27" t="s">
        <v>49</v>
      </c>
      <c r="AB44" s="17"/>
      <c r="AC44" s="2" t="s">
        <v>107</v>
      </c>
      <c r="AD44" s="28"/>
      <c r="AF44" s="27" t="s">
        <v>49</v>
      </c>
      <c r="AG44" s="17"/>
      <c r="AH44" s="2" t="s">
        <v>107</v>
      </c>
      <c r="AI44" s="28"/>
    </row>
    <row r="45" spans="2:35" x14ac:dyDescent="0.35">
      <c r="B45" s="27" t="s">
        <v>50</v>
      </c>
      <c r="C45" s="15"/>
      <c r="D45" s="2"/>
      <c r="E45" s="28"/>
      <c r="G45" s="27" t="s">
        <v>50</v>
      </c>
      <c r="H45" s="15"/>
      <c r="J45" s="30"/>
      <c r="L45" s="27" t="s">
        <v>50</v>
      </c>
      <c r="M45" s="17"/>
      <c r="O45" s="31"/>
      <c r="Q45" s="27" t="s">
        <v>50</v>
      </c>
      <c r="R45" s="17"/>
      <c r="T45" s="31"/>
      <c r="V45" s="27" t="s">
        <v>50</v>
      </c>
      <c r="W45" s="17"/>
      <c r="Y45" s="31"/>
      <c r="AA45" s="27" t="s">
        <v>50</v>
      </c>
      <c r="AB45" s="17"/>
      <c r="AC45" s="2" t="s">
        <v>108</v>
      </c>
      <c r="AD45" s="28"/>
      <c r="AF45" s="27" t="s">
        <v>50</v>
      </c>
      <c r="AG45" s="17"/>
      <c r="AH45" s="2" t="s">
        <v>108</v>
      </c>
      <c r="AI45" s="28"/>
    </row>
    <row r="46" spans="2:35" x14ac:dyDescent="0.35">
      <c r="B46" s="27" t="s">
        <v>52</v>
      </c>
      <c r="C46" s="15"/>
      <c r="D46" s="2"/>
      <c r="E46" s="28"/>
      <c r="G46" s="27" t="s">
        <v>52</v>
      </c>
      <c r="H46" s="15"/>
      <c r="J46" s="30"/>
      <c r="L46" s="27" t="s">
        <v>52</v>
      </c>
      <c r="M46" s="17"/>
      <c r="O46" s="31"/>
      <c r="Q46" s="27" t="s">
        <v>52</v>
      </c>
      <c r="R46" s="17"/>
      <c r="T46" s="31"/>
      <c r="V46" s="27" t="s">
        <v>52</v>
      </c>
      <c r="W46" s="17"/>
      <c r="Y46" s="31"/>
      <c r="AA46" s="27" t="s">
        <v>52</v>
      </c>
      <c r="AB46" s="17"/>
      <c r="AC46" s="2" t="s">
        <v>109</v>
      </c>
      <c r="AD46" s="28"/>
      <c r="AF46" s="27" t="s">
        <v>52</v>
      </c>
      <c r="AG46" s="17"/>
      <c r="AH46" s="2" t="s">
        <v>109</v>
      </c>
      <c r="AI46" s="28"/>
    </row>
    <row r="47" spans="2:35" x14ac:dyDescent="0.35">
      <c r="B47" s="27" t="s">
        <v>53</v>
      </c>
      <c r="C47" s="15"/>
      <c r="D47" s="2"/>
      <c r="E47" s="28"/>
      <c r="G47" s="27" t="s">
        <v>53</v>
      </c>
      <c r="H47" s="15"/>
      <c r="J47" s="30"/>
      <c r="L47" s="27" t="s">
        <v>53</v>
      </c>
      <c r="M47" s="17"/>
      <c r="O47" s="31"/>
      <c r="Q47" s="27" t="s">
        <v>53</v>
      </c>
      <c r="R47" s="17"/>
      <c r="T47" s="31"/>
      <c r="V47" s="27" t="s">
        <v>53</v>
      </c>
      <c r="W47" s="17"/>
      <c r="Y47" s="31"/>
      <c r="AA47" s="27" t="s">
        <v>53</v>
      </c>
      <c r="AB47" s="17"/>
      <c r="AC47" s="2" t="s">
        <v>44</v>
      </c>
      <c r="AD47" s="28"/>
      <c r="AF47" s="27" t="s">
        <v>53</v>
      </c>
      <c r="AG47" s="17"/>
      <c r="AH47" s="2" t="s">
        <v>44</v>
      </c>
      <c r="AI47" s="28"/>
    </row>
    <row r="48" spans="2:35" x14ac:dyDescent="0.35">
      <c r="B48" s="27" t="s">
        <v>55</v>
      </c>
      <c r="C48" s="15"/>
      <c r="D48" s="2"/>
      <c r="E48" s="28"/>
      <c r="G48" s="27" t="s">
        <v>55</v>
      </c>
      <c r="H48" s="15"/>
      <c r="J48" s="30"/>
      <c r="L48" s="27" t="s">
        <v>55</v>
      </c>
      <c r="M48" s="17"/>
      <c r="O48" s="31"/>
      <c r="Q48" s="27" t="s">
        <v>55</v>
      </c>
      <c r="R48" s="17"/>
      <c r="T48" s="31"/>
      <c r="V48" s="27" t="s">
        <v>55</v>
      </c>
      <c r="W48" s="17"/>
      <c r="Y48" s="31"/>
      <c r="AA48" s="27" t="s">
        <v>55</v>
      </c>
      <c r="AB48" s="17"/>
      <c r="AC48" s="2" t="s">
        <v>48</v>
      </c>
      <c r="AD48" s="28"/>
      <c r="AF48" s="27" t="s">
        <v>55</v>
      </c>
      <c r="AG48" s="17"/>
      <c r="AH48" s="2" t="s">
        <v>48</v>
      </c>
      <c r="AI48" s="28"/>
    </row>
    <row r="49" spans="2:35" x14ac:dyDescent="0.35">
      <c r="B49" s="27" t="s">
        <v>54</v>
      </c>
      <c r="C49" s="15"/>
      <c r="D49" s="2"/>
      <c r="E49" s="28"/>
      <c r="G49" s="27" t="s">
        <v>54</v>
      </c>
      <c r="H49" s="15"/>
      <c r="J49" s="30"/>
      <c r="L49" s="27" t="s">
        <v>54</v>
      </c>
      <c r="M49" s="17"/>
      <c r="O49" s="31"/>
      <c r="Q49" s="27" t="s">
        <v>54</v>
      </c>
      <c r="R49" s="17"/>
      <c r="T49" s="31"/>
      <c r="V49" s="27" t="s">
        <v>54</v>
      </c>
      <c r="W49" s="17"/>
      <c r="Y49" s="31"/>
      <c r="AA49" s="27" t="s">
        <v>54</v>
      </c>
      <c r="AB49" s="17"/>
      <c r="AC49" s="2" t="s">
        <v>41</v>
      </c>
      <c r="AD49" s="28"/>
      <c r="AF49" s="27" t="s">
        <v>54</v>
      </c>
      <c r="AG49" s="17"/>
      <c r="AH49" s="2" t="s">
        <v>41</v>
      </c>
      <c r="AI49" s="28"/>
    </row>
    <row r="50" spans="2:35" x14ac:dyDescent="0.35">
      <c r="B50" s="27" t="s">
        <v>56</v>
      </c>
      <c r="C50" s="15"/>
      <c r="D50" s="2"/>
      <c r="E50" s="28"/>
      <c r="G50" s="27" t="s">
        <v>56</v>
      </c>
      <c r="H50" s="15"/>
      <c r="J50" s="30"/>
      <c r="L50" s="27" t="s">
        <v>56</v>
      </c>
      <c r="M50" s="17"/>
      <c r="O50" s="31"/>
      <c r="Q50" s="27" t="s">
        <v>56</v>
      </c>
      <c r="R50" s="17"/>
      <c r="T50" s="31"/>
      <c r="V50" s="27" t="s">
        <v>56</v>
      </c>
      <c r="W50" s="17"/>
      <c r="Y50" s="31"/>
      <c r="AA50" s="27" t="s">
        <v>56</v>
      </c>
      <c r="AB50" s="17"/>
      <c r="AC50" s="2" t="s">
        <v>110</v>
      </c>
      <c r="AD50" s="28"/>
      <c r="AF50" s="27" t="s">
        <v>56</v>
      </c>
      <c r="AG50" s="17"/>
      <c r="AH50" s="2" t="s">
        <v>110</v>
      </c>
      <c r="AI50" s="28"/>
    </row>
    <row r="51" spans="2:35" x14ac:dyDescent="0.35">
      <c r="B51" s="27" t="s">
        <v>57</v>
      </c>
      <c r="C51" s="15"/>
      <c r="D51" s="2"/>
      <c r="E51" s="28"/>
      <c r="G51" s="27" t="s">
        <v>57</v>
      </c>
      <c r="H51" s="15"/>
      <c r="J51" s="30"/>
      <c r="L51" s="27" t="s">
        <v>57</v>
      </c>
      <c r="M51" s="17"/>
      <c r="O51" s="31"/>
      <c r="Q51" s="27" t="s">
        <v>57</v>
      </c>
      <c r="R51" s="17"/>
      <c r="T51" s="31"/>
      <c r="V51" s="27" t="s">
        <v>57</v>
      </c>
      <c r="W51" s="17"/>
      <c r="Y51" s="31"/>
      <c r="AA51" s="27" t="s">
        <v>57</v>
      </c>
      <c r="AB51" s="17"/>
      <c r="AC51" s="2" t="s">
        <v>111</v>
      </c>
      <c r="AD51" s="28"/>
      <c r="AF51" s="27" t="s">
        <v>57</v>
      </c>
      <c r="AG51" s="17"/>
      <c r="AH51" s="2" t="s">
        <v>111</v>
      </c>
      <c r="AI51" s="28"/>
    </row>
    <row r="52" spans="2:35" x14ac:dyDescent="0.35">
      <c r="B52" s="27" t="s">
        <v>27</v>
      </c>
      <c r="C52" s="15"/>
      <c r="D52" s="2"/>
      <c r="E52" s="28"/>
      <c r="G52" s="27" t="s">
        <v>27</v>
      </c>
      <c r="H52" s="15"/>
      <c r="J52" s="30"/>
      <c r="L52" s="27" t="s">
        <v>27</v>
      </c>
      <c r="M52" s="17"/>
      <c r="O52" s="31"/>
      <c r="Q52" s="27" t="s">
        <v>27</v>
      </c>
      <c r="R52" s="17"/>
      <c r="T52" s="31"/>
      <c r="V52" s="27" t="s">
        <v>27</v>
      </c>
      <c r="W52" s="17"/>
      <c r="Y52" s="31"/>
      <c r="AA52" s="27" t="s">
        <v>27</v>
      </c>
      <c r="AB52" s="17"/>
      <c r="AC52" s="2" t="s">
        <v>112</v>
      </c>
      <c r="AD52" s="28"/>
      <c r="AF52" s="27" t="s">
        <v>27</v>
      </c>
      <c r="AG52" s="17"/>
      <c r="AH52" s="2" t="s">
        <v>112</v>
      </c>
      <c r="AI52" s="28"/>
    </row>
    <row r="53" spans="2:35" x14ac:dyDescent="0.35">
      <c r="B53" s="27" t="s">
        <v>58</v>
      </c>
      <c r="C53" s="15"/>
      <c r="D53" s="2"/>
      <c r="E53" s="28"/>
      <c r="G53" s="27" t="s">
        <v>58</v>
      </c>
      <c r="H53" s="15"/>
      <c r="J53" s="30"/>
      <c r="L53" s="27" t="s">
        <v>58</v>
      </c>
      <c r="M53" s="17"/>
      <c r="O53" s="31"/>
      <c r="Q53" s="27" t="s">
        <v>58</v>
      </c>
      <c r="R53" s="17"/>
      <c r="T53" s="31"/>
      <c r="V53" s="27" t="s">
        <v>58</v>
      </c>
      <c r="W53" s="17"/>
      <c r="Y53" s="31"/>
      <c r="AA53" s="27" t="s">
        <v>58</v>
      </c>
      <c r="AB53" s="17"/>
      <c r="AC53" s="2" t="s">
        <v>42</v>
      </c>
      <c r="AD53" s="28"/>
      <c r="AF53" s="27" t="s">
        <v>58</v>
      </c>
      <c r="AG53" s="17"/>
      <c r="AH53" s="2" t="s">
        <v>42</v>
      </c>
      <c r="AI53" s="28"/>
    </row>
    <row r="54" spans="2:35" x14ac:dyDescent="0.35">
      <c r="B54" s="27" t="s">
        <v>59</v>
      </c>
      <c r="C54" s="15"/>
      <c r="D54" s="2"/>
      <c r="E54" s="28"/>
      <c r="G54" s="27" t="s">
        <v>59</v>
      </c>
      <c r="H54" s="15"/>
      <c r="J54" s="30"/>
      <c r="L54" s="27" t="s">
        <v>59</v>
      </c>
      <c r="M54" s="17"/>
      <c r="O54" s="31"/>
      <c r="Q54" s="27" t="s">
        <v>59</v>
      </c>
      <c r="R54" s="17"/>
      <c r="T54" s="31"/>
      <c r="V54" s="27" t="s">
        <v>59</v>
      </c>
      <c r="W54" s="17"/>
      <c r="Y54" s="31"/>
      <c r="AA54" s="27" t="s">
        <v>59</v>
      </c>
      <c r="AB54" s="17"/>
      <c r="AC54" s="2" t="s">
        <v>113</v>
      </c>
      <c r="AD54" s="28"/>
      <c r="AF54" s="27" t="s">
        <v>59</v>
      </c>
      <c r="AG54" s="17"/>
      <c r="AH54" s="2" t="s">
        <v>113</v>
      </c>
      <c r="AI54" s="28"/>
    </row>
    <row r="55" spans="2:35" x14ac:dyDescent="0.35">
      <c r="B55" s="27" t="s">
        <v>60</v>
      </c>
      <c r="C55" s="15"/>
      <c r="D55" s="2"/>
      <c r="E55" s="28"/>
      <c r="G55" s="27" t="s">
        <v>60</v>
      </c>
      <c r="H55" s="15"/>
      <c r="J55" s="30"/>
      <c r="L55" s="27" t="s">
        <v>60</v>
      </c>
      <c r="M55" s="17"/>
      <c r="O55" s="31"/>
      <c r="Q55" s="27" t="s">
        <v>60</v>
      </c>
      <c r="R55" s="17"/>
      <c r="T55" s="31"/>
      <c r="V55" s="27" t="s">
        <v>60</v>
      </c>
      <c r="W55" s="17"/>
      <c r="Y55" s="31"/>
      <c r="AA55" s="27" t="s">
        <v>60</v>
      </c>
      <c r="AB55" s="17"/>
      <c r="AC55" s="2" t="s">
        <v>114</v>
      </c>
      <c r="AD55" s="28"/>
      <c r="AF55" s="27" t="s">
        <v>60</v>
      </c>
      <c r="AG55" s="17"/>
      <c r="AH55" s="2" t="s">
        <v>114</v>
      </c>
      <c r="AI55" s="28"/>
    </row>
    <row r="56" spans="2:35" x14ac:dyDescent="0.35">
      <c r="B56" s="27" t="s">
        <v>61</v>
      </c>
      <c r="C56" s="15"/>
      <c r="D56" s="2"/>
      <c r="E56" s="28"/>
      <c r="G56" s="27" t="s">
        <v>61</v>
      </c>
      <c r="H56" s="15"/>
      <c r="J56" s="30"/>
      <c r="L56" s="27" t="s">
        <v>61</v>
      </c>
      <c r="M56" s="17"/>
      <c r="O56" s="31"/>
      <c r="Q56" s="27" t="s">
        <v>61</v>
      </c>
      <c r="R56" s="17"/>
      <c r="T56" s="31"/>
      <c r="V56" s="27" t="s">
        <v>61</v>
      </c>
      <c r="W56" s="17"/>
      <c r="Y56" s="31"/>
      <c r="AA56" s="27" t="s">
        <v>61</v>
      </c>
      <c r="AB56" s="17"/>
      <c r="AC56" s="2" t="s">
        <v>115</v>
      </c>
      <c r="AD56" s="28"/>
      <c r="AF56" s="27" t="s">
        <v>61</v>
      </c>
      <c r="AG56" s="17"/>
      <c r="AH56" s="2" t="s">
        <v>115</v>
      </c>
      <c r="AI56" s="28"/>
    </row>
    <row r="57" spans="2:35" x14ac:dyDescent="0.35">
      <c r="B57" s="27" t="s">
        <v>62</v>
      </c>
      <c r="C57" s="15"/>
      <c r="D57" s="2"/>
      <c r="E57" s="28"/>
      <c r="G57" s="27" t="s">
        <v>62</v>
      </c>
      <c r="H57" s="15"/>
      <c r="J57" s="30"/>
      <c r="L57" s="27" t="s">
        <v>62</v>
      </c>
      <c r="M57" s="17"/>
      <c r="O57" s="31"/>
      <c r="Q57" s="27" t="s">
        <v>62</v>
      </c>
      <c r="R57" s="17"/>
      <c r="T57" s="31"/>
      <c r="V57" s="27" t="s">
        <v>62</v>
      </c>
      <c r="W57" s="17"/>
      <c r="Y57" s="31"/>
      <c r="AA57" s="27" t="s">
        <v>62</v>
      </c>
      <c r="AB57" s="17"/>
      <c r="AC57" s="2" t="s">
        <v>47</v>
      </c>
      <c r="AD57" s="28"/>
      <c r="AF57" s="27" t="s">
        <v>62</v>
      </c>
      <c r="AG57" s="17"/>
      <c r="AH57" s="2" t="s">
        <v>47</v>
      </c>
      <c r="AI57" s="28"/>
    </row>
    <row r="58" spans="2:35" x14ac:dyDescent="0.35">
      <c r="B58" s="27" t="s">
        <v>63</v>
      </c>
      <c r="C58" s="15"/>
      <c r="D58" s="2"/>
      <c r="E58" s="28"/>
      <c r="G58" s="27" t="s">
        <v>63</v>
      </c>
      <c r="H58" s="15"/>
      <c r="J58" s="30"/>
      <c r="L58" s="27" t="s">
        <v>63</v>
      </c>
      <c r="M58" s="17"/>
      <c r="O58" s="31"/>
      <c r="Q58" s="27" t="s">
        <v>63</v>
      </c>
      <c r="R58" s="17"/>
      <c r="T58" s="31"/>
      <c r="V58" s="27" t="s">
        <v>63</v>
      </c>
      <c r="W58" s="17"/>
      <c r="Y58" s="31"/>
      <c r="AA58" s="27" t="s">
        <v>63</v>
      </c>
      <c r="AB58" s="17"/>
      <c r="AC58" s="2" t="s">
        <v>116</v>
      </c>
      <c r="AD58" s="28"/>
      <c r="AF58" s="27" t="s">
        <v>63</v>
      </c>
      <c r="AG58" s="17"/>
      <c r="AH58" s="2" t="s">
        <v>116</v>
      </c>
      <c r="AI58" s="28"/>
    </row>
    <row r="59" spans="2:35" s="20" customFormat="1" ht="15" thickBot="1" x14ac:dyDescent="0.4">
      <c r="B59" s="32" t="s">
        <v>168</v>
      </c>
      <c r="C59" s="33">
        <f>SUM(C5:C58)</f>
        <v>0</v>
      </c>
      <c r="D59" s="34"/>
      <c r="E59" s="35">
        <f>SUM(E5:E58)</f>
        <v>0</v>
      </c>
      <c r="G59" s="32" t="s">
        <v>168</v>
      </c>
      <c r="H59" s="33">
        <f>SUM(H5:H58)</f>
        <v>0</v>
      </c>
      <c r="I59" s="34"/>
      <c r="J59" s="35">
        <f>SUM(J5:J58)</f>
        <v>0</v>
      </c>
      <c r="L59" s="32" t="s">
        <v>168</v>
      </c>
      <c r="M59" s="33">
        <f>SUM(M5:M58)</f>
        <v>0</v>
      </c>
      <c r="N59" s="34"/>
      <c r="O59" s="35">
        <f>SUM(O5:O58)</f>
        <v>0</v>
      </c>
      <c r="Q59" s="32" t="s">
        <v>168</v>
      </c>
      <c r="R59" s="33">
        <f>SUM(R5:R58)</f>
        <v>0</v>
      </c>
      <c r="S59" s="34"/>
      <c r="T59" s="35">
        <f>SUM(T5:T58)</f>
        <v>0</v>
      </c>
      <c r="V59" s="32" t="s">
        <v>168</v>
      </c>
      <c r="W59" s="33">
        <f>SUM(W5:W58)</f>
        <v>0</v>
      </c>
      <c r="X59" s="34"/>
      <c r="Y59" s="35">
        <f>SUM(Y5:Y58)</f>
        <v>0</v>
      </c>
      <c r="AA59" s="32" t="s">
        <v>168</v>
      </c>
      <c r="AB59" s="33">
        <f>SUM(AB5:AB58)</f>
        <v>0</v>
      </c>
      <c r="AC59" s="34"/>
      <c r="AD59" s="35">
        <f>SUM(AD5:AD58)</f>
        <v>0</v>
      </c>
      <c r="AF59" s="32" t="s">
        <v>168</v>
      </c>
      <c r="AG59" s="33">
        <f>SUM(AG5:AG58)</f>
        <v>0</v>
      </c>
      <c r="AH59" s="34"/>
      <c r="AI59" s="35">
        <f>SUM(AI5:AI58)</f>
        <v>0</v>
      </c>
    </row>
  </sheetData>
  <mergeCells count="7">
    <mergeCell ref="AF3:AI3"/>
    <mergeCell ref="B3:E3"/>
    <mergeCell ref="G3:J3"/>
    <mergeCell ref="L3:O3"/>
    <mergeCell ref="Q3:T3"/>
    <mergeCell ref="V3:Y3"/>
    <mergeCell ref="AA3:A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A01A-B60D-4B73-B5F9-695F89495289}">
  <sheetPr>
    <tabColor rgb="FFEFEFFF"/>
  </sheetPr>
  <dimension ref="A2:AE36"/>
  <sheetViews>
    <sheetView showGridLines="0" topLeftCell="L1" zoomScale="78" zoomScaleNormal="78" workbookViewId="0">
      <selection activeCell="V13" sqref="V13"/>
    </sheetView>
  </sheetViews>
  <sheetFormatPr defaultRowHeight="14.5" x14ac:dyDescent="0.35"/>
  <cols>
    <col min="1" max="1" width="19.26953125" hidden="1" customWidth="1"/>
    <col min="2" max="2" width="9.7265625" hidden="1" customWidth="1"/>
    <col min="3" max="3" width="13.1796875" hidden="1" customWidth="1"/>
    <col min="4" max="4" width="9.7265625" hidden="1" customWidth="1"/>
    <col min="5" max="5" width="10.7265625" hidden="1" customWidth="1"/>
    <col min="6" max="6" width="6.6328125" hidden="1" customWidth="1"/>
    <col min="7" max="7" width="5.90625" hidden="1" customWidth="1"/>
    <col min="8" max="8" width="29.54296875" customWidth="1"/>
    <col min="9" max="9" width="19" customWidth="1"/>
    <col min="10" max="10" width="11.90625" customWidth="1"/>
    <col min="11" max="11" width="11.1796875" bestFit="1" customWidth="1"/>
    <col min="12" max="12" width="11.90625" customWidth="1"/>
    <col min="13" max="13" width="12.1796875" customWidth="1"/>
    <col min="14" max="14" width="3.36328125" customWidth="1"/>
    <col min="15" max="15" width="11.7265625" customWidth="1"/>
    <col min="16" max="16" width="11.26953125" customWidth="1"/>
    <col min="17" max="17" width="9.08984375" customWidth="1"/>
    <col min="18" max="18" width="10.453125" customWidth="1"/>
    <col min="19" max="19" width="10.453125" bestFit="1" customWidth="1"/>
    <col min="20" max="20" width="14.90625" customWidth="1"/>
    <col min="21" max="21" width="13.81640625" customWidth="1"/>
    <col min="22" max="22" width="11.26953125" customWidth="1"/>
    <col min="23" max="23" width="8.81640625" customWidth="1"/>
    <col min="24" max="24" width="10.453125" customWidth="1"/>
    <col min="25" max="25" width="10.453125" bestFit="1" customWidth="1"/>
    <col min="26" max="26" width="3.36328125" customWidth="1"/>
    <col min="27" max="27" width="13.81640625" customWidth="1"/>
    <col min="28" max="28" width="11.26953125" customWidth="1"/>
    <col min="29" max="29" width="10.453125" bestFit="1" customWidth="1"/>
    <col min="30" max="30" width="10.453125" customWidth="1"/>
    <col min="31" max="31" width="13.36328125" customWidth="1"/>
  </cols>
  <sheetData>
    <row r="2" spans="1:31" x14ac:dyDescent="0.35">
      <c r="A2" t="s">
        <v>179</v>
      </c>
    </row>
    <row r="3" spans="1:31" ht="15" thickBot="1" x14ac:dyDescent="0.4">
      <c r="A3" s="4"/>
      <c r="B3" s="4" t="s">
        <v>133</v>
      </c>
      <c r="C3" s="4" t="s">
        <v>134</v>
      </c>
      <c r="D3" s="4"/>
      <c r="E3" s="4"/>
      <c r="F3" s="4"/>
      <c r="G3" s="4"/>
      <c r="S3" s="103" t="s">
        <v>180</v>
      </c>
      <c r="W3" s="10"/>
      <c r="Y3" s="103" t="s">
        <v>180</v>
      </c>
      <c r="AE3" s="103" t="s">
        <v>180</v>
      </c>
    </row>
    <row r="4" spans="1:31" ht="15" thickBot="1" x14ac:dyDescent="0.4">
      <c r="A4" s="4"/>
      <c r="B4" s="4" t="s">
        <v>135</v>
      </c>
      <c r="C4" s="4"/>
      <c r="D4" s="4" t="s">
        <v>136</v>
      </c>
      <c r="E4" s="4"/>
      <c r="F4" s="4"/>
      <c r="G4" s="4"/>
      <c r="I4" s="66" t="s">
        <v>157</v>
      </c>
      <c r="J4" s="56">
        <v>19258.331999999999</v>
      </c>
      <c r="K4" s="50">
        <v>19256.917000000001</v>
      </c>
      <c r="L4" s="51">
        <v>24072.510999999999</v>
      </c>
      <c r="M4" s="64">
        <f>SUM(J4:L4)</f>
        <v>62587.759999999995</v>
      </c>
      <c r="O4" s="109" t="s">
        <v>198</v>
      </c>
      <c r="P4" s="110">
        <v>26990</v>
      </c>
      <c r="Q4" s="110">
        <v>30678</v>
      </c>
      <c r="R4" s="110">
        <v>35114</v>
      </c>
      <c r="S4" s="114">
        <f>AVERAGE(SUM(P4:R4)/13)</f>
        <v>7137.0769230769229</v>
      </c>
      <c r="U4" s="109" t="s">
        <v>186</v>
      </c>
      <c r="V4" s="110">
        <v>19802</v>
      </c>
      <c r="W4" s="110">
        <v>28666</v>
      </c>
      <c r="X4" s="110">
        <v>19565.407999999999</v>
      </c>
      <c r="Y4" s="114">
        <f>AVERAGE(SUM(V4:X4)/13)</f>
        <v>5233.3390769230764</v>
      </c>
      <c r="AA4" s="109" t="s">
        <v>188</v>
      </c>
      <c r="AB4" s="110">
        <v>36554</v>
      </c>
      <c r="AC4" s="110">
        <v>36390</v>
      </c>
      <c r="AD4" s="110">
        <v>45568</v>
      </c>
      <c r="AE4" s="114">
        <f>AVERAGE(SUM(AB4:AD4)/13)</f>
        <v>9116.3076923076915</v>
      </c>
    </row>
    <row r="5" spans="1:31" ht="15" thickBot="1" x14ac:dyDescent="0.4">
      <c r="A5" s="5" t="s">
        <v>137</v>
      </c>
      <c r="B5" s="5" t="s">
        <v>138</v>
      </c>
      <c r="C5" s="5" t="s">
        <v>139</v>
      </c>
      <c r="D5" s="5" t="s">
        <v>138</v>
      </c>
      <c r="E5" s="5" t="s">
        <v>139</v>
      </c>
      <c r="F5" s="4"/>
      <c r="G5" s="4"/>
      <c r="I5" s="52" t="s">
        <v>147</v>
      </c>
      <c r="J5" s="57">
        <f>'Revised Volume'!F12</f>
        <v>40628</v>
      </c>
      <c r="K5" s="57">
        <f>'Revised Volume'!G12</f>
        <v>37239</v>
      </c>
      <c r="L5" s="57">
        <f>'Revised Volume'!H12</f>
        <v>46536</v>
      </c>
      <c r="M5" s="64">
        <f>SUM(J5:L5)</f>
        <v>124403</v>
      </c>
      <c r="O5" s="9" t="s">
        <v>182</v>
      </c>
      <c r="P5" s="102">
        <f>($S$4/3)*13</f>
        <v>30927.333333333336</v>
      </c>
      <c r="Q5" s="102">
        <f t="shared" ref="Q5:R5" si="0">($S$4/3)*13</f>
        <v>30927.333333333336</v>
      </c>
      <c r="R5" s="102">
        <f t="shared" si="0"/>
        <v>30927.333333333336</v>
      </c>
      <c r="S5" s="115">
        <f>AVERAGE(SUM(P5:R5)/13)</f>
        <v>7137.0769230769229</v>
      </c>
      <c r="U5" s="9" t="s">
        <v>182</v>
      </c>
      <c r="V5" s="102">
        <f>($Y$4/3)*13</f>
        <v>22677.802666666666</v>
      </c>
      <c r="W5" s="102">
        <f t="shared" ref="W5:X5" si="1">($Y$4/3)*13</f>
        <v>22677.802666666666</v>
      </c>
      <c r="X5" s="102">
        <f t="shared" si="1"/>
        <v>22677.802666666666</v>
      </c>
      <c r="Y5" s="115">
        <f>AVERAGE(SUM(V5:X5)/13)</f>
        <v>5233.3390769230764</v>
      </c>
      <c r="AA5" s="9" t="s">
        <v>182</v>
      </c>
      <c r="AB5" s="102">
        <f>($AE$4/3)*13</f>
        <v>39504</v>
      </c>
      <c r="AC5" s="102">
        <f t="shared" ref="AC5:AD5" si="2">($AE$4/3)*13</f>
        <v>39504</v>
      </c>
      <c r="AD5" s="102">
        <f t="shared" si="2"/>
        <v>39504</v>
      </c>
      <c r="AE5" s="115">
        <f>AVERAGE(SUM(AB5:AD5)/13)</f>
        <v>9116.3076923076915</v>
      </c>
    </row>
    <row r="6" spans="1:31" ht="15" thickBot="1" x14ac:dyDescent="0.4">
      <c r="A6" t="s">
        <v>140</v>
      </c>
      <c r="B6" s="6">
        <v>21990.19743262971</v>
      </c>
      <c r="C6" s="6">
        <v>448042.53935310361</v>
      </c>
      <c r="D6" s="6">
        <v>26246</v>
      </c>
      <c r="E6" s="6">
        <v>568743.40555999987</v>
      </c>
      <c r="F6" s="6"/>
      <c r="G6" s="6"/>
      <c r="J6" s="75" t="s">
        <v>148</v>
      </c>
      <c r="K6" s="76" t="s">
        <v>149</v>
      </c>
      <c r="L6" s="77" t="s">
        <v>150</v>
      </c>
      <c r="M6" s="78" t="s">
        <v>151</v>
      </c>
      <c r="O6" s="104" t="s">
        <v>183</v>
      </c>
      <c r="P6" s="106">
        <f>P5*107%</f>
        <v>33092.246666666673</v>
      </c>
      <c r="Q6" s="106">
        <f>Q5*103%</f>
        <v>31855.153333333335</v>
      </c>
      <c r="R6" s="106">
        <f>R5*120%</f>
        <v>37112.800000000003</v>
      </c>
      <c r="S6" s="112">
        <f>AVERAGE(SUM(P6:R6)/13)</f>
        <v>7850.7846153846167</v>
      </c>
      <c r="U6" s="104" t="s">
        <v>183</v>
      </c>
      <c r="V6" s="106">
        <f>V5*110%</f>
        <v>24945.582933333335</v>
      </c>
      <c r="W6" s="106">
        <f t="shared" ref="W6:X6" si="3">W5*110%</f>
        <v>24945.582933333335</v>
      </c>
      <c r="X6" s="106">
        <f t="shared" si="3"/>
        <v>24945.582933333335</v>
      </c>
      <c r="Y6" s="112">
        <f>AVERAGE(SUM(V6:X6)/13)</f>
        <v>5756.6729846153848</v>
      </c>
      <c r="AA6" s="104" t="s">
        <v>183</v>
      </c>
      <c r="AB6" s="106">
        <f>AB5*110%</f>
        <v>43454.400000000001</v>
      </c>
      <c r="AC6" s="106">
        <f t="shared" ref="AC6:AD6" si="4">AC5*110%</f>
        <v>43454.400000000001</v>
      </c>
      <c r="AD6" s="106">
        <f t="shared" si="4"/>
        <v>43454.400000000001</v>
      </c>
      <c r="AE6" s="112">
        <f>AVERAGE(SUM(AB6:AD6)/13)</f>
        <v>10027.938461538462</v>
      </c>
    </row>
    <row r="7" spans="1:31" x14ac:dyDescent="0.35">
      <c r="A7" t="s">
        <v>141</v>
      </c>
      <c r="B7" s="6">
        <v>12362.838218273042</v>
      </c>
      <c r="C7" s="6">
        <v>251888.46756357225</v>
      </c>
      <c r="D7" s="6">
        <v>17804</v>
      </c>
      <c r="E7" s="6">
        <v>383868.7294800001</v>
      </c>
      <c r="F7" s="6"/>
      <c r="G7" s="6"/>
      <c r="H7" s="47" t="s">
        <v>140</v>
      </c>
      <c r="I7" s="53">
        <f t="shared" ref="I7:I8" si="5">D6/$D$12</f>
        <v>0.26263333800308203</v>
      </c>
      <c r="J7" s="58">
        <f>I7*$J$5</f>
        <v>10670.267256389217</v>
      </c>
      <c r="K7" s="48">
        <f>$K$5*I7</f>
        <v>9780.2028738967711</v>
      </c>
      <c r="L7" s="59">
        <f>$L$5*I7</f>
        <v>12221.905017311425</v>
      </c>
      <c r="M7" s="67">
        <f>SUM(J7:L7)</f>
        <v>32672.375147597413</v>
      </c>
      <c r="O7" t="s">
        <v>184</v>
      </c>
      <c r="P7" s="105">
        <f>P6-P4</f>
        <v>6102.2466666666733</v>
      </c>
      <c r="Q7" s="105">
        <f t="shared" ref="Q7:R7" si="6">Q6-Q4</f>
        <v>1177.1533333333355</v>
      </c>
      <c r="R7" s="105">
        <f t="shared" si="6"/>
        <v>1998.8000000000029</v>
      </c>
      <c r="S7" s="111"/>
      <c r="U7" t="s">
        <v>187</v>
      </c>
      <c r="V7" s="105">
        <f>V6-V4</f>
        <v>5143.5829333333349</v>
      </c>
      <c r="W7" s="105">
        <f t="shared" ref="W7:X7" si="7">W6-W4</f>
        <v>-3720.4170666666651</v>
      </c>
      <c r="X7" s="105">
        <f t="shared" si="7"/>
        <v>5380.1749333333355</v>
      </c>
      <c r="Y7" s="112"/>
      <c r="AA7" t="s">
        <v>189</v>
      </c>
      <c r="AB7" s="105">
        <f>AB6-AB4</f>
        <v>6900.4000000000015</v>
      </c>
      <c r="AC7" s="105">
        <f t="shared" ref="AC7:AD7" si="8">AC6-AC4</f>
        <v>7064.4000000000015</v>
      </c>
      <c r="AD7" s="105">
        <f t="shared" si="8"/>
        <v>-2113.5999999999985</v>
      </c>
      <c r="AE7" s="111"/>
    </row>
    <row r="8" spans="1:31" x14ac:dyDescent="0.35">
      <c r="A8" t="s">
        <v>142</v>
      </c>
      <c r="B8" s="6">
        <v>14652.267471785482</v>
      </c>
      <c r="C8" s="6">
        <v>298563.7864490592</v>
      </c>
      <c r="D8" s="6">
        <v>14778</v>
      </c>
      <c r="E8" s="6">
        <v>317639.40912000003</v>
      </c>
      <c r="F8" s="6"/>
      <c r="G8" s="6"/>
      <c r="H8" s="27" t="s">
        <v>171</v>
      </c>
      <c r="I8" s="54">
        <f t="shared" si="5"/>
        <v>0.1781575840054436</v>
      </c>
      <c r="J8" s="60">
        <f t="shared" ref="J8:J13" si="9">I8*$J$5</f>
        <v>7238.1863229731625</v>
      </c>
      <c r="K8" s="15">
        <f t="shared" ref="K8:K14" si="10">$K$5*I8</f>
        <v>6634.4102707787142</v>
      </c>
      <c r="L8" s="61">
        <f t="shared" ref="L8:L14" si="11">$L$5*I8</f>
        <v>8290.7413292773235</v>
      </c>
      <c r="M8" s="68">
        <f>SUM(J8:L8)-M9</f>
        <v>14184.53627073869</v>
      </c>
      <c r="O8" s="108" t="s">
        <v>185</v>
      </c>
      <c r="P8" s="107">
        <f>(P6/P4)-1</f>
        <v>0.22609287390391519</v>
      </c>
      <c r="Q8" s="107">
        <f t="shared" ref="Q8:S8" si="12">(Q6/Q4)-1</f>
        <v>3.8371254101745134E-2</v>
      </c>
      <c r="R8" s="107">
        <f t="shared" si="12"/>
        <v>5.6923164549752325E-2</v>
      </c>
      <c r="S8" s="113">
        <f t="shared" si="12"/>
        <v>0.10000000000000031</v>
      </c>
      <c r="U8" s="108" t="s">
        <v>185</v>
      </c>
      <c r="V8" s="107">
        <f>(V6/V4)-1</f>
        <v>0.25975067838265509</v>
      </c>
      <c r="W8" s="107">
        <f t="shared" ref="W8:Y8" si="13">(W6/W4)-1</f>
        <v>-0.12978500895369649</v>
      </c>
      <c r="X8" s="107">
        <f t="shared" si="13"/>
        <v>0.27498403985919095</v>
      </c>
      <c r="Y8" s="113">
        <f t="shared" si="13"/>
        <v>0.10000000000000009</v>
      </c>
      <c r="AA8" s="108" t="s">
        <v>185</v>
      </c>
      <c r="AB8" s="107">
        <f>(AB6/AB4)-1</f>
        <v>0.18877277452535979</v>
      </c>
      <c r="AC8" s="107">
        <f t="shared" ref="AC8:AE8" si="14">(AC6/AC4)-1</f>
        <v>0.19413025556471553</v>
      </c>
      <c r="AD8" s="107">
        <f t="shared" si="14"/>
        <v>-4.6383426966292052E-2</v>
      </c>
      <c r="AE8" s="113">
        <f t="shared" si="14"/>
        <v>0.10000000000000009</v>
      </c>
    </row>
    <row r="9" spans="1:31" x14ac:dyDescent="0.35">
      <c r="A9" t="s">
        <v>143</v>
      </c>
      <c r="B9" s="6">
        <v>8556.0582347132131</v>
      </c>
      <c r="C9" s="6">
        <v>174326.66828407708</v>
      </c>
      <c r="D9" s="6">
        <v>8383</v>
      </c>
      <c r="E9" s="6">
        <v>182710.48358</v>
      </c>
      <c r="F9" s="6"/>
      <c r="G9" s="6"/>
      <c r="H9" s="49" t="s">
        <v>170</v>
      </c>
      <c r="I9" s="55">
        <v>0.36</v>
      </c>
      <c r="J9" s="62">
        <f>J8*36%</f>
        <v>2605.7470762703383</v>
      </c>
      <c r="K9" s="41">
        <f>K8*36%</f>
        <v>2388.387697480337</v>
      </c>
      <c r="L9" s="63">
        <f>L8*36%</f>
        <v>2984.6668785398365</v>
      </c>
      <c r="M9" s="65">
        <f>SUM(J9:L9)</f>
        <v>7978.8016522905109</v>
      </c>
    </row>
    <row r="10" spans="1:31" x14ac:dyDescent="0.35">
      <c r="A10" t="s">
        <v>144</v>
      </c>
      <c r="B10" s="6">
        <v>16928.145364162847</v>
      </c>
      <c r="C10" s="6">
        <v>344905.51837436645</v>
      </c>
      <c r="D10" s="6">
        <v>17388</v>
      </c>
      <c r="E10" s="6">
        <v>374798.66269999999</v>
      </c>
      <c r="F10" s="6"/>
      <c r="G10" s="6"/>
      <c r="H10" s="27" t="s">
        <v>142</v>
      </c>
      <c r="I10" s="54">
        <f>D8/$D$12</f>
        <v>0.14787759921548221</v>
      </c>
      <c r="J10" s="60">
        <f t="shared" si="9"/>
        <v>6007.9711009266111</v>
      </c>
      <c r="K10" s="15">
        <f t="shared" si="10"/>
        <v>5506.8139171853418</v>
      </c>
      <c r="L10" s="61">
        <f t="shared" si="11"/>
        <v>6881.6319570916803</v>
      </c>
      <c r="M10" s="68">
        <f t="shared" ref="M10:M13" si="15">SUM(J10:L10)</f>
        <v>18396.416975203632</v>
      </c>
      <c r="AB10" s="161">
        <v>0.85</v>
      </c>
      <c r="AC10" s="161">
        <v>0.85</v>
      </c>
      <c r="AD10" s="161">
        <v>0.85</v>
      </c>
    </row>
    <row r="11" spans="1:31" x14ac:dyDescent="0.35">
      <c r="A11" t="s">
        <v>145</v>
      </c>
      <c r="B11" s="6">
        <v>12388.513893169355</v>
      </c>
      <c r="C11" s="6">
        <v>252411.51620386526</v>
      </c>
      <c r="D11" s="6">
        <v>15335</v>
      </c>
      <c r="E11" s="6">
        <v>347478.84386999981</v>
      </c>
      <c r="F11" s="6"/>
      <c r="G11" s="6"/>
      <c r="H11" s="27" t="s">
        <v>143</v>
      </c>
      <c r="I11" s="54">
        <f>D9/$D$12</f>
        <v>8.3885364340464702E-2</v>
      </c>
      <c r="J11" s="60">
        <f t="shared" si="9"/>
        <v>3408.0945824244</v>
      </c>
      <c r="K11" s="15">
        <f t="shared" si="10"/>
        <v>3123.8070826745652</v>
      </c>
      <c r="L11" s="61">
        <f t="shared" si="11"/>
        <v>3903.6893149478656</v>
      </c>
      <c r="M11" s="68">
        <f t="shared" si="15"/>
        <v>10435.590980046831</v>
      </c>
      <c r="O11" t="s">
        <v>192</v>
      </c>
      <c r="U11" s="116" t="s">
        <v>193</v>
      </c>
      <c r="V11" s="116" t="s">
        <v>148</v>
      </c>
      <c r="W11" s="116" t="s">
        <v>149</v>
      </c>
      <c r="X11" s="116" t="s">
        <v>150</v>
      </c>
      <c r="Y11" s="103" t="s">
        <v>180</v>
      </c>
      <c r="AB11" s="102">
        <f>AB10*AB4</f>
        <v>31070.899999999998</v>
      </c>
      <c r="AC11" s="102">
        <f t="shared" ref="AC11:AD11" si="16">AC10*AC4</f>
        <v>30931.5</v>
      </c>
      <c r="AD11" s="102">
        <f t="shared" si="16"/>
        <v>38732.799999999996</v>
      </c>
    </row>
    <row r="12" spans="1:31" x14ac:dyDescent="0.35">
      <c r="A12" s="7" t="s">
        <v>146</v>
      </c>
      <c r="B12" s="8">
        <v>86878.020614733643</v>
      </c>
      <c r="C12" s="8">
        <v>1770138.4962280439</v>
      </c>
      <c r="D12" s="8">
        <v>99934</v>
      </c>
      <c r="E12" s="8">
        <v>2175239.53431</v>
      </c>
      <c r="F12" s="13"/>
      <c r="G12" s="13"/>
      <c r="H12" s="27" t="s">
        <v>144</v>
      </c>
      <c r="I12" s="54">
        <f>D10/$D$12</f>
        <v>0.17399483659215081</v>
      </c>
      <c r="J12" s="60">
        <f t="shared" si="9"/>
        <v>7069.062221065903</v>
      </c>
      <c r="K12" s="15">
        <f t="shared" si="10"/>
        <v>6479.3937198551039</v>
      </c>
      <c r="L12" s="61">
        <f t="shared" si="11"/>
        <v>8097.0237156523299</v>
      </c>
      <c r="M12" s="68">
        <f t="shared" si="15"/>
        <v>21645.479656573338</v>
      </c>
      <c r="R12" s="10"/>
      <c r="T12" s="117" t="s">
        <v>188</v>
      </c>
      <c r="U12" s="121">
        <f>SUM(V12:X12)</f>
        <v>100735.19999999998</v>
      </c>
      <c r="V12" s="122">
        <f>AB11</f>
        <v>31070.899999999998</v>
      </c>
      <c r="W12" s="122">
        <f t="shared" ref="W12:X12" si="17">AC11</f>
        <v>30931.5</v>
      </c>
      <c r="X12" s="122">
        <f t="shared" si="17"/>
        <v>38732.799999999996</v>
      </c>
      <c r="Y12" s="114">
        <f>AVERAGE(SUM(V12:X12)/13)</f>
        <v>7748.8615384615368</v>
      </c>
      <c r="AB12" s="10">
        <f>AB4-AB11</f>
        <v>5483.1000000000022</v>
      </c>
      <c r="AC12" s="10">
        <f t="shared" ref="AC12:AD12" si="18">AC4-AC11</f>
        <v>5458.5</v>
      </c>
      <c r="AD12" s="10">
        <f t="shared" si="18"/>
        <v>6835.2000000000044</v>
      </c>
    </row>
    <row r="13" spans="1:31" x14ac:dyDescent="0.35">
      <c r="H13" s="27" t="s">
        <v>145</v>
      </c>
      <c r="I13" s="54">
        <f>D11/$D$12</f>
        <v>0.15345127784337662</v>
      </c>
      <c r="J13" s="60">
        <f t="shared" si="9"/>
        <v>6234.418516220705</v>
      </c>
      <c r="K13" s="15">
        <f t="shared" si="10"/>
        <v>5714.372135609502</v>
      </c>
      <c r="L13" s="61">
        <f t="shared" si="11"/>
        <v>7141.0086657193742</v>
      </c>
      <c r="M13" s="68">
        <f t="shared" si="15"/>
        <v>19089.799317549583</v>
      </c>
      <c r="T13" s="9" t="s">
        <v>202</v>
      </c>
      <c r="U13" s="125">
        <f>SUM(V13:X13)</f>
        <v>92782</v>
      </c>
      <c r="V13" s="126">
        <v>26990</v>
      </c>
      <c r="W13" s="126">
        <v>30678</v>
      </c>
      <c r="X13" s="126">
        <v>35114</v>
      </c>
      <c r="Y13" s="115">
        <f>AVERAGE(SUM(V13:X13)/13)</f>
        <v>7137.0769230769229</v>
      </c>
      <c r="AA13" s="120"/>
      <c r="AB13" s="120">
        <f>AB12/AB4</f>
        <v>0.15000000000000005</v>
      </c>
      <c r="AC13" s="120">
        <f t="shared" ref="AC13:AD13" si="19">AC12/AC4</f>
        <v>0.15</v>
      </c>
      <c r="AD13" s="120">
        <f t="shared" si="19"/>
        <v>0.15000000000000011</v>
      </c>
    </row>
    <row r="14" spans="1:31" ht="15" thickBot="1" x14ac:dyDescent="0.4">
      <c r="H14" s="69"/>
      <c r="I14" s="70">
        <f>D12/$D$12</f>
        <v>1</v>
      </c>
      <c r="J14" s="71">
        <f>I14*$J$5</f>
        <v>40628</v>
      </c>
      <c r="K14" s="72">
        <f t="shared" si="10"/>
        <v>37239</v>
      </c>
      <c r="L14" s="73">
        <f t="shared" si="11"/>
        <v>46536</v>
      </c>
      <c r="M14" s="74">
        <f>SUM(J14:L14)</f>
        <v>124403</v>
      </c>
      <c r="O14" s="118" t="s">
        <v>194</v>
      </c>
      <c r="P14" t="s">
        <v>190</v>
      </c>
      <c r="T14" s="118" t="s">
        <v>203</v>
      </c>
      <c r="U14" s="123">
        <f>U13-U12</f>
        <v>-7953.1999999999825</v>
      </c>
      <c r="V14" s="123">
        <f t="shared" ref="V14:Y14" si="20">V13-V12</f>
        <v>-4080.8999999999978</v>
      </c>
      <c r="W14" s="123">
        <f t="shared" si="20"/>
        <v>-253.5</v>
      </c>
      <c r="X14" s="123">
        <f t="shared" si="20"/>
        <v>-3618.7999999999956</v>
      </c>
      <c r="Y14" s="123">
        <f t="shared" si="20"/>
        <v>-611.78461538461397</v>
      </c>
    </row>
    <row r="15" spans="1:31" x14ac:dyDescent="0.35">
      <c r="P15" t="s">
        <v>191</v>
      </c>
      <c r="T15" s="119" t="s">
        <v>196</v>
      </c>
      <c r="U15" s="124">
        <f>(U13/U12)-1</f>
        <v>-7.8951548217504719E-2</v>
      </c>
      <c r="V15" s="124">
        <f t="shared" ref="V15:X15" si="21">V13/V12-1</f>
        <v>-0.13134154466075965</v>
      </c>
      <c r="W15" s="124">
        <f t="shared" si="21"/>
        <v>-8.1955288298336537E-3</v>
      </c>
      <c r="X15" s="124">
        <f t="shared" si="21"/>
        <v>-9.342985789821534E-2</v>
      </c>
      <c r="Y15" s="124">
        <f>Y13/Y12-1</f>
        <v>-7.8951548217504719E-2</v>
      </c>
    </row>
    <row r="16" spans="1:31" x14ac:dyDescent="0.35">
      <c r="P16" t="s">
        <v>195</v>
      </c>
    </row>
    <row r="17" spans="2:25" hidden="1" x14ac:dyDescent="0.35">
      <c r="B17" s="12">
        <v>14564.825999999999</v>
      </c>
      <c r="C17" s="12">
        <v>14564.84</v>
      </c>
      <c r="D17" s="12">
        <v>18206.163</v>
      </c>
      <c r="E17" s="6"/>
      <c r="F17" s="6"/>
      <c r="G17" s="6"/>
    </row>
    <row r="18" spans="2:25" x14ac:dyDescent="0.35">
      <c r="P18" t="s">
        <v>199</v>
      </c>
      <c r="T18" s="127" t="s">
        <v>197</v>
      </c>
    </row>
    <row r="19" spans="2:25" x14ac:dyDescent="0.35">
      <c r="P19" t="s">
        <v>200</v>
      </c>
      <c r="T19" s="127" t="s">
        <v>211</v>
      </c>
    </row>
    <row r="20" spans="2:25" x14ac:dyDescent="0.35">
      <c r="P20" t="s">
        <v>201</v>
      </c>
      <c r="T20" t="s">
        <v>205</v>
      </c>
    </row>
    <row r="21" spans="2:25" x14ac:dyDescent="0.35">
      <c r="P21" t="s">
        <v>204</v>
      </c>
      <c r="T21" t="s">
        <v>208</v>
      </c>
    </row>
    <row r="22" spans="2:25" x14ac:dyDescent="0.35">
      <c r="T22" t="s">
        <v>206</v>
      </c>
    </row>
    <row r="23" spans="2:25" x14ac:dyDescent="0.35">
      <c r="T23" t="s">
        <v>210</v>
      </c>
    </row>
    <row r="24" spans="2:25" x14ac:dyDescent="0.35">
      <c r="R24" s="108"/>
      <c r="T24" t="s">
        <v>207</v>
      </c>
    </row>
    <row r="25" spans="2:25" x14ac:dyDescent="0.35">
      <c r="R25" s="108"/>
      <c r="T25" t="s">
        <v>209</v>
      </c>
    </row>
    <row r="26" spans="2:25" x14ac:dyDescent="0.35">
      <c r="R26" s="108"/>
    </row>
    <row r="27" spans="2:25" x14ac:dyDescent="0.35">
      <c r="R27" s="108"/>
      <c r="U27" s="11"/>
    </row>
    <row r="29" spans="2:25" x14ac:dyDescent="0.35">
      <c r="Y29" s="162">
        <f>'Revised Volume'!M5/'Revised Volume'!M4</f>
        <v>0.74581802689645749</v>
      </c>
    </row>
    <row r="36" spans="20:20" x14ac:dyDescent="0.35">
      <c r="T36" t="s">
        <v>217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55B4-CCAE-4706-970F-7081521039C0}">
  <dimension ref="D1:Q18"/>
  <sheetViews>
    <sheetView topLeftCell="C1" zoomScale="79" zoomScaleNormal="79" workbookViewId="0">
      <selection activeCell="P24" sqref="P24"/>
    </sheetView>
  </sheetViews>
  <sheetFormatPr defaultRowHeight="14.5" x14ac:dyDescent="0.35"/>
  <cols>
    <col min="4" max="4" width="16.81640625" customWidth="1"/>
    <col min="5" max="9" width="11.1796875" customWidth="1"/>
    <col min="12" max="12" width="16.36328125" customWidth="1"/>
    <col min="13" max="16" width="12.7265625" customWidth="1"/>
    <col min="17" max="17" width="11.453125" customWidth="1"/>
  </cols>
  <sheetData>
    <row r="1" spans="4:17" ht="15" thickBot="1" x14ac:dyDescent="0.4">
      <c r="E1" s="191" t="s">
        <v>218</v>
      </c>
      <c r="F1" s="192"/>
      <c r="G1" s="192"/>
      <c r="H1" s="192"/>
      <c r="I1" s="193"/>
      <c r="M1" s="191" t="s">
        <v>219</v>
      </c>
      <c r="N1" s="192"/>
      <c r="O1" s="192"/>
      <c r="P1" s="192"/>
      <c r="Q1" s="193"/>
    </row>
    <row r="2" spans="4:17" ht="9" customHeight="1" thickBot="1" x14ac:dyDescent="0.4"/>
    <row r="3" spans="4:17" ht="15" thickBot="1" x14ac:dyDescent="0.4">
      <c r="E3" s="128" t="s">
        <v>212</v>
      </c>
      <c r="F3" s="128" t="s">
        <v>148</v>
      </c>
      <c r="G3" s="128" t="s">
        <v>149</v>
      </c>
      <c r="H3" s="128" t="s">
        <v>150</v>
      </c>
      <c r="I3" s="139" t="s">
        <v>180</v>
      </c>
      <c r="M3" s="128" t="s">
        <v>212</v>
      </c>
      <c r="N3" s="128" t="s">
        <v>148</v>
      </c>
      <c r="O3" s="128" t="s">
        <v>149</v>
      </c>
      <c r="P3" s="128" t="s">
        <v>150</v>
      </c>
      <c r="Q3" s="139" t="s">
        <v>180</v>
      </c>
    </row>
    <row r="4" spans="4:17" x14ac:dyDescent="0.35">
      <c r="D4" s="140" t="s">
        <v>198</v>
      </c>
      <c r="E4" s="141">
        <f>SUM(F4:H4)</f>
        <v>124403</v>
      </c>
      <c r="F4" s="142">
        <v>40628</v>
      </c>
      <c r="G4" s="142">
        <v>37239</v>
      </c>
      <c r="H4" s="142">
        <v>46536</v>
      </c>
      <c r="I4" s="143">
        <f>AVERAGE(SUM(F4:H4)/13)</f>
        <v>9569.461538461539</v>
      </c>
      <c r="L4" s="176" t="s">
        <v>198</v>
      </c>
      <c r="M4" s="177">
        <f>SUM(N4:P4)</f>
        <v>124403</v>
      </c>
      <c r="N4" s="178">
        <f>F4</f>
        <v>40628</v>
      </c>
      <c r="O4" s="178">
        <f>G4</f>
        <v>37239</v>
      </c>
      <c r="P4" s="178">
        <f>H4</f>
        <v>46536</v>
      </c>
      <c r="Q4" s="179">
        <f>AVERAGE(SUM(N4:P4)/13)</f>
        <v>9569.461538461539</v>
      </c>
    </row>
    <row r="5" spans="4:17" x14ac:dyDescent="0.35">
      <c r="D5" s="144" t="s">
        <v>188</v>
      </c>
      <c r="E5" s="129">
        <f>SUM(F5:H5)</f>
        <v>118512</v>
      </c>
      <c r="F5" s="132">
        <v>36554</v>
      </c>
      <c r="G5" s="132">
        <v>36390</v>
      </c>
      <c r="H5" s="132">
        <v>45568</v>
      </c>
      <c r="I5" s="134">
        <f>AVERAGE(SUM(F5:H5)/13)</f>
        <v>9116.3076923076915</v>
      </c>
      <c r="L5" s="172" t="s">
        <v>220</v>
      </c>
      <c r="M5" s="129">
        <f>SUM(N5:P5)</f>
        <v>92782</v>
      </c>
      <c r="N5" s="184">
        <v>26990</v>
      </c>
      <c r="O5" s="184">
        <v>30678</v>
      </c>
      <c r="P5" s="184">
        <v>35114</v>
      </c>
      <c r="Q5" s="134">
        <f t="shared" ref="Q5:Q14" si="0">AVERAGE(SUM(N5:P5)/13)</f>
        <v>7137.0769230769229</v>
      </c>
    </row>
    <row r="6" spans="4:17" ht="15" thickBot="1" x14ac:dyDescent="0.4">
      <c r="D6" s="145" t="s">
        <v>202</v>
      </c>
      <c r="E6" s="135">
        <f>SUM(F6:H6)</f>
        <v>124403</v>
      </c>
      <c r="F6" s="136">
        <f>F4</f>
        <v>40628</v>
      </c>
      <c r="G6" s="136">
        <f t="shared" ref="G6:H6" si="1">G4</f>
        <v>37239</v>
      </c>
      <c r="H6" s="136">
        <f t="shared" si="1"/>
        <v>46536</v>
      </c>
      <c r="I6" s="137">
        <f>AVERAGE(SUM(F6:H6)/13)</f>
        <v>9569.461538461539</v>
      </c>
      <c r="L6" s="173" t="s">
        <v>221</v>
      </c>
      <c r="M6" s="163">
        <f>SUM(N6:P6)</f>
        <v>31621</v>
      </c>
      <c r="N6" s="166">
        <v>13638</v>
      </c>
      <c r="O6" s="164">
        <v>6561</v>
      </c>
      <c r="P6" s="164">
        <v>11422</v>
      </c>
      <c r="Q6" s="165">
        <f t="shared" si="0"/>
        <v>2432.3846153846152</v>
      </c>
    </row>
    <row r="7" spans="4:17" ht="15" thickBot="1" x14ac:dyDescent="0.4">
      <c r="D7" s="144" t="s">
        <v>214</v>
      </c>
      <c r="E7" s="129">
        <f>E6-E5</f>
        <v>5891</v>
      </c>
      <c r="F7" s="129">
        <f t="shared" ref="F7:I7" si="2">F6-F5</f>
        <v>4074</v>
      </c>
      <c r="G7" s="129">
        <f t="shared" si="2"/>
        <v>849</v>
      </c>
      <c r="H7" s="129">
        <f t="shared" si="2"/>
        <v>968</v>
      </c>
      <c r="I7" s="129">
        <f t="shared" si="2"/>
        <v>453.15384615384755</v>
      </c>
      <c r="L7" s="9"/>
      <c r="M7" s="130"/>
      <c r="N7" s="130"/>
      <c r="O7" s="130"/>
      <c r="P7" s="130"/>
      <c r="Q7" s="130"/>
    </row>
    <row r="8" spans="4:17" ht="15" thickBot="1" x14ac:dyDescent="0.4">
      <c r="D8" s="146" t="s">
        <v>196</v>
      </c>
      <c r="E8" s="147">
        <f>(E6/E5)-1</f>
        <v>4.9708046442554332E-2</v>
      </c>
      <c r="F8" s="147">
        <f t="shared" ref="F8:H8" si="3">F6/F5-1</f>
        <v>0.11145155112983529</v>
      </c>
      <c r="G8" s="147">
        <f t="shared" si="3"/>
        <v>2.333058532563892E-2</v>
      </c>
      <c r="H8" s="147">
        <f t="shared" si="3"/>
        <v>2.124297752808979E-2</v>
      </c>
      <c r="I8" s="149">
        <f>I6/I5-1</f>
        <v>4.9708046442554554E-2</v>
      </c>
      <c r="L8" s="180" t="s">
        <v>188</v>
      </c>
      <c r="M8" s="181">
        <f>SUM(N8:P8)</f>
        <v>118512</v>
      </c>
      <c r="N8" s="182">
        <f>F5</f>
        <v>36554</v>
      </c>
      <c r="O8" s="182">
        <f>G5</f>
        <v>36390</v>
      </c>
      <c r="P8" s="182">
        <f>H5</f>
        <v>45568</v>
      </c>
      <c r="Q8" s="183">
        <f t="shared" si="0"/>
        <v>9116.3076923076915</v>
      </c>
    </row>
    <row r="9" spans="4:17" x14ac:dyDescent="0.35">
      <c r="E9" s="130"/>
      <c r="F9" s="130"/>
      <c r="G9" s="130"/>
      <c r="H9" s="130"/>
      <c r="I9" s="130"/>
      <c r="L9" s="172" t="s">
        <v>220</v>
      </c>
      <c r="M9" s="129">
        <f>SUM(N9:P9)</f>
        <v>100735.19999999998</v>
      </c>
      <c r="N9" s="167">
        <f>N8*85%</f>
        <v>31070.899999999998</v>
      </c>
      <c r="O9" s="167">
        <f>O8*85%</f>
        <v>30931.5</v>
      </c>
      <c r="P9" s="167">
        <f>P8*85%</f>
        <v>38732.799999999996</v>
      </c>
      <c r="Q9" s="134">
        <f t="shared" si="0"/>
        <v>7748.8615384615368</v>
      </c>
    </row>
    <row r="10" spans="4:17" ht="15" thickBot="1" x14ac:dyDescent="0.4">
      <c r="E10" s="130"/>
      <c r="F10" s="130"/>
      <c r="G10" s="133"/>
      <c r="H10" s="130"/>
      <c r="I10" s="138" t="s">
        <v>180</v>
      </c>
      <c r="L10" s="173" t="s">
        <v>221</v>
      </c>
      <c r="M10" s="163">
        <f>SUM(N10:P10)</f>
        <v>17776.8</v>
      </c>
      <c r="N10" s="168">
        <f>N8*15%</f>
        <v>5483.0999999999995</v>
      </c>
      <c r="O10" s="168">
        <f>O8*15%</f>
        <v>5458.5</v>
      </c>
      <c r="P10" s="168">
        <f>P8*15%</f>
        <v>6835.2</v>
      </c>
      <c r="Q10" s="165">
        <f t="shared" si="0"/>
        <v>1367.4461538461537</v>
      </c>
    </row>
    <row r="11" spans="4:17" ht="15" thickBot="1" x14ac:dyDescent="0.4">
      <c r="D11" s="140" t="s">
        <v>186</v>
      </c>
      <c r="E11" s="141">
        <f>SUM(F11:H11)</f>
        <v>96730.226999999999</v>
      </c>
      <c r="F11" s="142">
        <v>29127</v>
      </c>
      <c r="G11" s="142">
        <v>41155</v>
      </c>
      <c r="H11" s="142">
        <v>26448.226999999999</v>
      </c>
      <c r="I11" s="143">
        <f>AVERAGE(SUM(F11:H11)/13)</f>
        <v>7440.7866923076926</v>
      </c>
      <c r="L11" s="9"/>
      <c r="M11" s="130"/>
      <c r="N11" s="130"/>
      <c r="O11" s="130"/>
      <c r="P11" s="130"/>
      <c r="Q11" s="130"/>
    </row>
    <row r="12" spans="4:17" x14ac:dyDescent="0.35">
      <c r="D12" s="145" t="s">
        <v>202</v>
      </c>
      <c r="E12" s="135">
        <f>SUM(F12:H12)</f>
        <v>124403</v>
      </c>
      <c r="F12" s="136">
        <f>F6</f>
        <v>40628</v>
      </c>
      <c r="G12" s="136">
        <f t="shared" ref="G12:H12" si="4">G6</f>
        <v>37239</v>
      </c>
      <c r="H12" s="136">
        <f t="shared" si="4"/>
        <v>46536</v>
      </c>
      <c r="I12" s="137">
        <f>AVERAGE(SUM(F12:H12)/13)</f>
        <v>9569.461538461539</v>
      </c>
      <c r="L12" s="171" t="s">
        <v>202</v>
      </c>
      <c r="M12" s="174">
        <f>SUM(N12:P12)</f>
        <v>124403</v>
      </c>
      <c r="N12" s="175">
        <f>F12</f>
        <v>40628</v>
      </c>
      <c r="O12" s="175">
        <f>G12</f>
        <v>37239</v>
      </c>
      <c r="P12" s="175">
        <f>H12</f>
        <v>46536</v>
      </c>
      <c r="Q12" s="170">
        <f t="shared" si="0"/>
        <v>9569.461538461539</v>
      </c>
    </row>
    <row r="13" spans="4:17" ht="15" thickBot="1" x14ac:dyDescent="0.4">
      <c r="D13" s="148" t="s">
        <v>187</v>
      </c>
      <c r="E13" s="131">
        <f>E12/E11-1</f>
        <v>0.28608196070913805</v>
      </c>
      <c r="F13" s="131">
        <f>F12/F11-1</f>
        <v>0.39485700552751735</v>
      </c>
      <c r="G13" s="131">
        <f t="shared" ref="G13:I13" si="5">G12/G11-1</f>
        <v>-9.5152472360587992E-2</v>
      </c>
      <c r="H13" s="131">
        <f t="shared" si="5"/>
        <v>0.75951302898300144</v>
      </c>
      <c r="I13" s="131">
        <f t="shared" si="5"/>
        <v>0.28608196070913805</v>
      </c>
      <c r="K13" s="161">
        <v>0.85</v>
      </c>
      <c r="L13" s="172" t="s">
        <v>220</v>
      </c>
      <c r="M13" s="129"/>
      <c r="N13" s="133">
        <f>N12*$K$13</f>
        <v>34533.799999999996</v>
      </c>
      <c r="O13" s="133">
        <f>O12*$K$13</f>
        <v>31653.149999999998</v>
      </c>
      <c r="P13" s="133">
        <f>P12*$K$13</f>
        <v>39555.599999999999</v>
      </c>
      <c r="Q13" s="134">
        <f t="shared" si="0"/>
        <v>8134.0423076923071</v>
      </c>
    </row>
    <row r="14" spans="4:17" ht="15" thickBot="1" x14ac:dyDescent="0.4">
      <c r="K14" s="161">
        <v>0.15</v>
      </c>
      <c r="L14" s="173" t="s">
        <v>221</v>
      </c>
      <c r="M14" s="163">
        <f t="shared" ref="M14" si="6">SUM(N14:P14)</f>
        <v>18660.449999999997</v>
      </c>
      <c r="N14" s="169">
        <f>N12*$K$14</f>
        <v>6094.2</v>
      </c>
      <c r="O14" s="169">
        <f>O12*$K$14</f>
        <v>5585.8499999999995</v>
      </c>
      <c r="P14" s="169">
        <f>P12*$K$14</f>
        <v>6980.4</v>
      </c>
      <c r="Q14" s="165">
        <f t="shared" si="0"/>
        <v>1435.4192307692306</v>
      </c>
    </row>
    <row r="15" spans="4:17" ht="15" thickBot="1" x14ac:dyDescent="0.4"/>
    <row r="16" spans="4:17" ht="14.5" customHeight="1" x14ac:dyDescent="0.35">
      <c r="D16" s="203" t="s">
        <v>213</v>
      </c>
      <c r="E16" s="194" t="s">
        <v>222</v>
      </c>
      <c r="F16" s="195"/>
      <c r="G16" s="195"/>
      <c r="H16" s="195"/>
      <c r="I16" s="196"/>
      <c r="L16" s="203" t="s">
        <v>213</v>
      </c>
      <c r="M16" s="194"/>
      <c r="N16" s="195"/>
      <c r="O16" s="195"/>
      <c r="P16" s="195"/>
      <c r="Q16" s="196"/>
    </row>
    <row r="17" spans="4:17" x14ac:dyDescent="0.35">
      <c r="D17" s="204"/>
      <c r="E17" s="197"/>
      <c r="F17" s="198"/>
      <c r="G17" s="198"/>
      <c r="H17" s="198"/>
      <c r="I17" s="199"/>
      <c r="L17" s="204"/>
      <c r="M17" s="197"/>
      <c r="N17" s="198"/>
      <c r="O17" s="198"/>
      <c r="P17" s="198"/>
      <c r="Q17" s="199"/>
    </row>
    <row r="18" spans="4:17" ht="15" thickBot="1" x14ac:dyDescent="0.4">
      <c r="D18" s="205"/>
      <c r="E18" s="200"/>
      <c r="F18" s="201"/>
      <c r="G18" s="201"/>
      <c r="H18" s="201"/>
      <c r="I18" s="202"/>
      <c r="L18" s="205"/>
      <c r="M18" s="200"/>
      <c r="N18" s="201"/>
      <c r="O18" s="201"/>
      <c r="P18" s="201"/>
      <c r="Q18" s="202"/>
    </row>
  </sheetData>
  <mergeCells count="6">
    <mergeCell ref="M1:Q1"/>
    <mergeCell ref="E16:I18"/>
    <mergeCell ref="D16:D18"/>
    <mergeCell ref="L16:L18"/>
    <mergeCell ref="M16:Q18"/>
    <mergeCell ref="E1:I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E1B9-AA40-48B7-89DE-D9DBE1D5F0A9}">
  <sheetPr>
    <tabColor rgb="FFFFFFCC"/>
  </sheetPr>
  <dimension ref="B1:AW57"/>
  <sheetViews>
    <sheetView showGridLines="0" tabSelected="1" zoomScale="65" zoomScaleNormal="65" workbookViewId="0">
      <pane ySplit="3" topLeftCell="A4" activePane="bottomLeft" state="frozen"/>
      <selection activeCell="A2" sqref="A2"/>
      <selection pane="bottomLeft" activeCell="A4" sqref="A4"/>
    </sheetView>
  </sheetViews>
  <sheetFormatPr defaultRowHeight="14.5" x14ac:dyDescent="0.35"/>
  <cols>
    <col min="1" max="1" width="1.81640625" customWidth="1"/>
    <col min="2" max="2" width="16.1796875" bestFit="1" customWidth="1"/>
    <col min="3" max="3" width="7.90625" customWidth="1"/>
    <col min="4" max="4" width="10.26953125" customWidth="1"/>
    <col min="5" max="5" width="14" customWidth="1"/>
    <col min="6" max="6" width="7.54296875" customWidth="1"/>
    <col min="7" max="7" width="9.1796875" bestFit="1" customWidth="1"/>
    <col min="8" max="8" width="5.54296875" customWidth="1"/>
    <col min="9" max="9" width="13.54296875" bestFit="1" customWidth="1"/>
    <col min="10" max="10" width="7.36328125" customWidth="1"/>
    <col min="11" max="11" width="10.26953125" customWidth="1"/>
    <col min="12" max="12" width="16.7265625" customWidth="1"/>
    <col min="13" max="13" width="7.08984375" customWidth="1"/>
    <col min="14" max="14" width="9.453125" customWidth="1"/>
    <col min="15" max="15" width="5.36328125" customWidth="1"/>
    <col min="16" max="16" width="16.7265625" customWidth="1"/>
    <col min="17" max="17" width="7.90625" customWidth="1"/>
    <col min="19" max="19" width="16.453125" customWidth="1"/>
    <col min="20" max="20" width="7.36328125" customWidth="1"/>
    <col min="22" max="22" width="7.36328125" customWidth="1"/>
    <col min="23" max="23" width="17.7265625" customWidth="1"/>
    <col min="24" max="24" width="6.36328125" customWidth="1"/>
    <col min="26" max="26" width="14.54296875" customWidth="1"/>
    <col min="27" max="27" width="8.08984375" customWidth="1"/>
    <col min="28" max="28" width="9.81640625" bestFit="1" customWidth="1"/>
    <col min="29" max="29" width="5" customWidth="1"/>
    <col min="30" max="30" width="16.08984375" customWidth="1"/>
    <col min="31" max="31" width="7.90625" customWidth="1"/>
    <col min="32" max="32" width="9.453125" bestFit="1" customWidth="1"/>
    <col min="33" max="33" width="14.1796875" customWidth="1"/>
    <col min="34" max="34" width="7.36328125" customWidth="1"/>
    <col min="36" max="36" width="6.453125" customWidth="1"/>
    <col min="37" max="37" width="15.1796875" customWidth="1"/>
    <col min="40" max="40" width="15.453125" customWidth="1"/>
    <col min="41" max="41" width="9.1796875" customWidth="1"/>
    <col min="43" max="43" width="7.7265625" customWidth="1"/>
    <col min="44" max="44" width="16.54296875" customWidth="1"/>
    <col min="47" max="47" width="14.6328125" customWidth="1"/>
    <col min="48" max="48" width="11" customWidth="1"/>
  </cols>
  <sheetData>
    <row r="1" spans="2:49" s="95" customFormat="1" ht="16" customHeight="1" x14ac:dyDescent="0.35">
      <c r="B1" s="92" t="s">
        <v>172</v>
      </c>
      <c r="C1" s="93"/>
      <c r="D1" s="93"/>
      <c r="E1" s="93"/>
      <c r="F1" s="93"/>
      <c r="G1" s="94">
        <f>'By Region'!M6</f>
        <v>32672.375147597413</v>
      </c>
      <c r="I1" s="92" t="s">
        <v>173</v>
      </c>
      <c r="J1" s="93"/>
      <c r="K1" s="93"/>
      <c r="L1" s="93"/>
      <c r="M1" s="93"/>
      <c r="N1" s="94">
        <f>'By Region'!M9</f>
        <v>18396.416975203632</v>
      </c>
      <c r="P1" s="92" t="s">
        <v>174</v>
      </c>
      <c r="Q1" s="93"/>
      <c r="R1" s="93"/>
      <c r="S1" s="93"/>
      <c r="T1" s="93"/>
      <c r="U1" s="94">
        <f>'By Region'!M7</f>
        <v>14184.53627073869</v>
      </c>
      <c r="W1" s="92" t="s">
        <v>175</v>
      </c>
      <c r="X1" s="93"/>
      <c r="Y1" s="93"/>
      <c r="Z1" s="93"/>
      <c r="AA1" s="93"/>
      <c r="AB1" s="94">
        <f>'By Region'!M11</f>
        <v>21645.479656573338</v>
      </c>
      <c r="AD1" s="92" t="s">
        <v>176</v>
      </c>
      <c r="AE1" s="93"/>
      <c r="AF1" s="93"/>
      <c r="AG1" s="93"/>
      <c r="AH1" s="93"/>
      <c r="AI1" s="94">
        <f>'By Region'!M10</f>
        <v>10435.590980046831</v>
      </c>
      <c r="AK1" s="92" t="s">
        <v>177</v>
      </c>
      <c r="AL1" s="93"/>
      <c r="AM1" s="93"/>
      <c r="AN1" s="93"/>
      <c r="AO1" s="93"/>
      <c r="AP1" s="94">
        <f>'By Region'!M12</f>
        <v>19089.799317549583</v>
      </c>
      <c r="AR1" s="92" t="s">
        <v>178</v>
      </c>
      <c r="AS1" s="93"/>
      <c r="AT1" s="93"/>
      <c r="AU1" s="93"/>
      <c r="AV1" s="93"/>
      <c r="AW1" s="94">
        <f>'By Region'!M8</f>
        <v>7978.8016522905109</v>
      </c>
    </row>
    <row r="2" spans="2:49" x14ac:dyDescent="0.35">
      <c r="B2" s="206" t="s">
        <v>152</v>
      </c>
      <c r="C2" s="207"/>
      <c r="D2" s="207"/>
      <c r="E2" s="207"/>
      <c r="F2" s="207"/>
      <c r="G2" s="208"/>
      <c r="I2" s="206" t="s">
        <v>104</v>
      </c>
      <c r="J2" s="207"/>
      <c r="K2" s="207"/>
      <c r="L2" s="207"/>
      <c r="M2" s="207"/>
      <c r="N2" s="208"/>
      <c r="P2" s="206" t="s">
        <v>131</v>
      </c>
      <c r="Q2" s="207"/>
      <c r="R2" s="207"/>
      <c r="S2" s="207"/>
      <c r="T2" s="207"/>
      <c r="U2" s="208"/>
      <c r="W2" s="206" t="s">
        <v>154</v>
      </c>
      <c r="X2" s="207"/>
      <c r="Y2" s="207"/>
      <c r="Z2" s="207"/>
      <c r="AA2" s="207"/>
      <c r="AB2" s="208"/>
      <c r="AD2" s="206" t="s">
        <v>155</v>
      </c>
      <c r="AE2" s="207"/>
      <c r="AF2" s="207"/>
      <c r="AG2" s="207"/>
      <c r="AH2" s="207"/>
      <c r="AI2" s="208"/>
      <c r="AK2" s="206" t="s">
        <v>156</v>
      </c>
      <c r="AL2" s="207"/>
      <c r="AM2" s="207"/>
      <c r="AN2" s="207"/>
      <c r="AO2" s="207"/>
      <c r="AP2" s="208"/>
      <c r="AR2" s="206" t="s">
        <v>158</v>
      </c>
      <c r="AS2" s="207"/>
      <c r="AT2" s="207"/>
      <c r="AU2" s="207"/>
      <c r="AV2" s="207"/>
      <c r="AW2" s="208"/>
    </row>
    <row r="3" spans="2:49" s="9" customFormat="1" ht="15" thickBot="1" x14ac:dyDescent="0.4">
      <c r="B3" s="80" t="s">
        <v>29</v>
      </c>
      <c r="C3" s="81">
        <v>0.4</v>
      </c>
      <c r="D3" s="88">
        <f>G1*C3</f>
        <v>13068.950059038965</v>
      </c>
      <c r="E3" s="89" t="s">
        <v>153</v>
      </c>
      <c r="F3" s="87">
        <v>0.6</v>
      </c>
      <c r="G3" s="90">
        <f>G1*F3</f>
        <v>19603.425088558448</v>
      </c>
      <c r="I3" s="86" t="s">
        <v>29</v>
      </c>
      <c r="J3" s="87">
        <v>0.5</v>
      </c>
      <c r="K3" s="88">
        <f>N1*J3</f>
        <v>9198.2084876018162</v>
      </c>
      <c r="L3" s="89" t="s">
        <v>153</v>
      </c>
      <c r="M3" s="87">
        <v>0.5</v>
      </c>
      <c r="N3" s="90">
        <f>N1*M3</f>
        <v>9198.2084876018162</v>
      </c>
      <c r="P3" s="86" t="s">
        <v>29</v>
      </c>
      <c r="Q3" s="185">
        <v>0.62</v>
      </c>
      <c r="R3" s="88">
        <f>U1*Q3</f>
        <v>8794.4124878579878</v>
      </c>
      <c r="S3" s="89" t="s">
        <v>153</v>
      </c>
      <c r="T3" s="186">
        <f>SUM(T4:T31)</f>
        <v>0.37999999999999995</v>
      </c>
      <c r="U3" s="90">
        <f>U1*T3</f>
        <v>5390.1237828807016</v>
      </c>
      <c r="W3" s="80" t="s">
        <v>29</v>
      </c>
      <c r="X3" s="81">
        <f>SUM(X4:X56)</f>
        <v>0.3</v>
      </c>
      <c r="Y3" s="82">
        <f>SUM(Y4:Y56)</f>
        <v>6493.6438969719948</v>
      </c>
      <c r="Z3" s="83" t="s">
        <v>153</v>
      </c>
      <c r="AA3" s="81">
        <f>SUM(AA4:AA24)</f>
        <v>0.7</v>
      </c>
      <c r="AB3" s="84">
        <f>SUM(AB4:AB24)</f>
        <v>15151.835759601336</v>
      </c>
      <c r="AD3" s="80" t="s">
        <v>29</v>
      </c>
      <c r="AE3" s="81">
        <f>SUM(AE4:AE56)</f>
        <v>0.3</v>
      </c>
      <c r="AF3" s="82">
        <f>SUM(AF4:AF56)</f>
        <v>3130.6772940140509</v>
      </c>
      <c r="AG3" s="83" t="s">
        <v>153</v>
      </c>
      <c r="AH3" s="81">
        <f>SUM(AH4:AH24)</f>
        <v>0.70000000000000018</v>
      </c>
      <c r="AI3" s="84">
        <f>SUM(AI4:AI24)</f>
        <v>7304.9136860327817</v>
      </c>
      <c r="AK3" s="80" t="s">
        <v>29</v>
      </c>
      <c r="AL3" s="81">
        <f>SUM(AL4:AL56)</f>
        <v>0.49999999999999994</v>
      </c>
      <c r="AM3" s="82">
        <f>SUM(AM4:AM56)</f>
        <v>9544.8996587747897</v>
      </c>
      <c r="AN3" s="83" t="s">
        <v>153</v>
      </c>
      <c r="AO3" s="81">
        <f>SUM(AO4:AO48)</f>
        <v>0.50000000000000022</v>
      </c>
      <c r="AP3" s="84">
        <f>SUM(AP4:AP48)</f>
        <v>9544.8996587748024</v>
      </c>
      <c r="AR3" s="80" t="s">
        <v>29</v>
      </c>
      <c r="AS3" s="81">
        <f>SUM(AS4:AS56)</f>
        <v>0.49999999999999994</v>
      </c>
      <c r="AT3" s="82">
        <f>SUM(AT4:AT56)</f>
        <v>3989.4008261452595</v>
      </c>
      <c r="AU3" s="83" t="s">
        <v>153</v>
      </c>
      <c r="AV3" s="81">
        <f>SUM(AV4:AV47)</f>
        <v>0.50000000000000011</v>
      </c>
      <c r="AW3" s="84">
        <f>SUM(AW4:AW38)</f>
        <v>3989.4008261452532</v>
      </c>
    </row>
    <row r="4" spans="2:49" x14ac:dyDescent="0.35">
      <c r="B4" s="16" t="s">
        <v>38</v>
      </c>
      <c r="C4" s="37">
        <v>0.04</v>
      </c>
      <c r="D4" s="17">
        <f>$D$3*C4</f>
        <v>522.75800236155862</v>
      </c>
      <c r="E4" s="2" t="s">
        <v>91</v>
      </c>
      <c r="F4" s="36">
        <v>0.04</v>
      </c>
      <c r="G4" s="17">
        <f t="shared" ref="G4:G29" si="0">$G$3*F4</f>
        <v>784.13700354233788</v>
      </c>
      <c r="I4" s="16" t="s">
        <v>38</v>
      </c>
      <c r="J4" s="42">
        <v>0.02</v>
      </c>
      <c r="K4" s="17">
        <f>$K$3*J4</f>
        <v>183.96416975203633</v>
      </c>
      <c r="L4" s="2" t="s">
        <v>113</v>
      </c>
      <c r="M4" s="36">
        <v>0.04</v>
      </c>
      <c r="N4" s="17">
        <f t="shared" ref="N4:N23" si="1">$N$3*M4</f>
        <v>367.92833950407265</v>
      </c>
      <c r="O4" s="11"/>
      <c r="P4" s="16" t="s">
        <v>38</v>
      </c>
      <c r="Q4" s="14">
        <v>0.01</v>
      </c>
      <c r="R4" s="17">
        <f>$U$1*Q4</f>
        <v>141.8453627073869</v>
      </c>
      <c r="S4" s="2" t="s">
        <v>91</v>
      </c>
      <c r="T4" s="40">
        <f>38%/28</f>
        <v>1.3571428571428571E-2</v>
      </c>
      <c r="U4" s="17">
        <f t="shared" ref="U4:U31" si="2">$U$1*T4</f>
        <v>192.50442081716793</v>
      </c>
      <c r="W4" s="16" t="s">
        <v>38</v>
      </c>
      <c r="X4" s="39">
        <f>0.3/53</f>
        <v>5.6603773584905656E-3</v>
      </c>
      <c r="Y4" s="19">
        <f>AB$1*X4</f>
        <v>122.52158296173586</v>
      </c>
      <c r="Z4" s="16" t="s">
        <v>1</v>
      </c>
      <c r="AA4" s="39">
        <f>0.7/21</f>
        <v>3.3333333333333333E-2</v>
      </c>
      <c r="AB4" s="19">
        <f>$AB$1*AA4</f>
        <v>721.51598855244458</v>
      </c>
      <c r="AD4" s="16" t="s">
        <v>38</v>
      </c>
      <c r="AE4" s="44">
        <f>30%/53</f>
        <v>5.6603773584905656E-3</v>
      </c>
      <c r="AF4" s="91">
        <f>$AI$1*AE4</f>
        <v>59.069382905925451</v>
      </c>
      <c r="AG4" s="16" t="s">
        <v>1</v>
      </c>
      <c r="AH4" s="39">
        <v>0.08</v>
      </c>
      <c r="AI4" s="45">
        <f>$AI$1*AH4</f>
        <v>834.84727840374649</v>
      </c>
      <c r="AK4" s="16" t="s">
        <v>38</v>
      </c>
      <c r="AL4" s="43">
        <f>50%/53</f>
        <v>9.433962264150943E-3</v>
      </c>
      <c r="AM4" s="19">
        <f>$AP$1*AL4</f>
        <v>180.09244639197721</v>
      </c>
      <c r="AN4" s="16" t="s">
        <v>1</v>
      </c>
      <c r="AO4" s="43">
        <f>50%/45</f>
        <v>1.1111111111111112E-2</v>
      </c>
      <c r="AP4" s="45">
        <f>$AP$1*AO4</f>
        <v>212.1088813061065</v>
      </c>
      <c r="AR4" s="16" t="s">
        <v>38</v>
      </c>
      <c r="AS4" s="46">
        <f>50%/53</f>
        <v>9.433962264150943E-3</v>
      </c>
      <c r="AT4" s="19">
        <f>$AW$1*AS4</f>
        <v>75.27171370085388</v>
      </c>
      <c r="AU4" s="16" t="s">
        <v>1</v>
      </c>
      <c r="AV4" s="85">
        <f>50%/35</f>
        <v>1.4285714285714285E-2</v>
      </c>
      <c r="AW4" s="45">
        <f>$AW$1*AV4</f>
        <v>113.9828807470073</v>
      </c>
    </row>
    <row r="5" spans="2:49" x14ac:dyDescent="0.35">
      <c r="B5" s="2" t="s">
        <v>44</v>
      </c>
      <c r="C5" s="36">
        <v>0.02</v>
      </c>
      <c r="D5" s="17">
        <f t="shared" ref="D5:D56" si="3">$D$3*C5</f>
        <v>261.37900118077931</v>
      </c>
      <c r="E5" s="2" t="s">
        <v>89</v>
      </c>
      <c r="F5" s="36">
        <v>0.04</v>
      </c>
      <c r="G5" s="17">
        <f t="shared" si="0"/>
        <v>784.13700354233788</v>
      </c>
      <c r="I5" s="2" t="s">
        <v>44</v>
      </c>
      <c r="J5" s="42">
        <v>0.06</v>
      </c>
      <c r="K5" s="17">
        <f t="shared" ref="K5:K32" si="4">$K$3*J5</f>
        <v>551.89250925610895</v>
      </c>
      <c r="L5" s="2" t="s">
        <v>106</v>
      </c>
      <c r="M5" s="36">
        <v>0.05</v>
      </c>
      <c r="N5" s="17">
        <f t="shared" si="1"/>
        <v>459.91042438009083</v>
      </c>
      <c r="P5" s="2" t="s">
        <v>44</v>
      </c>
      <c r="Q5" s="14">
        <v>0.01</v>
      </c>
      <c r="R5" s="17">
        <f t="shared" ref="R5:R56" si="5">$U$1*Q5</f>
        <v>141.8453627073869</v>
      </c>
      <c r="S5" s="2" t="s">
        <v>89</v>
      </c>
      <c r="T5" s="40">
        <f t="shared" ref="T5:T31" si="6">38%/28</f>
        <v>1.3571428571428571E-2</v>
      </c>
      <c r="U5" s="17">
        <f t="shared" si="2"/>
        <v>192.50442081716793</v>
      </c>
      <c r="W5" s="2" t="s">
        <v>44</v>
      </c>
      <c r="X5" s="39">
        <f t="shared" ref="X5:X56" si="7">0.3/53</f>
        <v>5.6603773584905656E-3</v>
      </c>
      <c r="Y5" s="17">
        <f t="shared" ref="Y5:Y56" si="8">AB$1*X5</f>
        <v>122.52158296173586</v>
      </c>
      <c r="Z5" s="2" t="s">
        <v>6</v>
      </c>
      <c r="AA5" s="39">
        <f t="shared" ref="AA5:AA24" si="9">0.7/21</f>
        <v>3.3333333333333333E-2</v>
      </c>
      <c r="AB5" s="17">
        <f t="shared" ref="AB5:AB24" si="10">$AB$1*AA5</f>
        <v>721.51598855244458</v>
      </c>
      <c r="AD5" s="2" t="s">
        <v>44</v>
      </c>
      <c r="AE5" s="44">
        <f t="shared" ref="AE5:AE56" si="11">30%/53</f>
        <v>5.6603773584905656E-3</v>
      </c>
      <c r="AF5" s="17">
        <f t="shared" ref="AF5:AF56" si="12">$AI$1*AE5</f>
        <v>59.069382905925451</v>
      </c>
      <c r="AG5" s="2" t="s">
        <v>6</v>
      </c>
      <c r="AH5" s="38">
        <v>0.03</v>
      </c>
      <c r="AI5" s="15">
        <f>$AI$1*AH5</f>
        <v>313.0677294014049</v>
      </c>
      <c r="AK5" s="2" t="s">
        <v>44</v>
      </c>
      <c r="AL5" s="43">
        <f t="shared" ref="AL5:AL56" si="13">50%/53</f>
        <v>9.433962264150943E-3</v>
      </c>
      <c r="AM5" s="17">
        <f t="shared" ref="AM5:AM56" si="14">$AP$1*AL5</f>
        <v>180.09244639197721</v>
      </c>
      <c r="AN5" s="2" t="s">
        <v>113</v>
      </c>
      <c r="AO5" s="43">
        <f t="shared" ref="AO5:AO48" si="15">50%/45</f>
        <v>1.1111111111111112E-2</v>
      </c>
      <c r="AP5" s="15">
        <f t="shared" ref="AP5:AP48" si="16">$AP$1*AO5</f>
        <v>212.1088813061065</v>
      </c>
      <c r="AR5" s="2" t="s">
        <v>44</v>
      </c>
      <c r="AS5" s="46">
        <f t="shared" ref="AS5:AS56" si="17">50%/53</f>
        <v>9.433962264150943E-3</v>
      </c>
      <c r="AT5" s="17">
        <f t="shared" ref="AT5:AT56" si="18">$AW$1*AS5</f>
        <v>75.27171370085388</v>
      </c>
      <c r="AU5" s="2" t="s">
        <v>113</v>
      </c>
      <c r="AV5" s="85">
        <f t="shared" ref="AV5:AV38" si="19">50%/35</f>
        <v>1.4285714285714285E-2</v>
      </c>
      <c r="AW5" s="15">
        <f t="shared" ref="AW5:AW38" si="20">$AW$1*AV5</f>
        <v>113.9828807470073</v>
      </c>
    </row>
    <row r="6" spans="2:49" x14ac:dyDescent="0.35">
      <c r="B6" s="2" t="s">
        <v>45</v>
      </c>
      <c r="C6" s="36">
        <v>0.02</v>
      </c>
      <c r="D6" s="17">
        <f t="shared" si="3"/>
        <v>261.37900118077931</v>
      </c>
      <c r="E6" s="2" t="s">
        <v>92</v>
      </c>
      <c r="F6" s="36">
        <v>0.04</v>
      </c>
      <c r="G6" s="17">
        <f t="shared" si="0"/>
        <v>784.13700354233788</v>
      </c>
      <c r="I6" s="2" t="s">
        <v>45</v>
      </c>
      <c r="J6" s="42">
        <v>0.05</v>
      </c>
      <c r="K6" s="17">
        <f t="shared" si="4"/>
        <v>459.91042438009083</v>
      </c>
      <c r="L6" s="2" t="s">
        <v>112</v>
      </c>
      <c r="M6" s="36">
        <v>0.02</v>
      </c>
      <c r="N6" s="17">
        <f t="shared" si="1"/>
        <v>183.96416975203633</v>
      </c>
      <c r="P6" s="2" t="s">
        <v>45</v>
      </c>
      <c r="Q6" s="14">
        <v>0.01</v>
      </c>
      <c r="R6" s="17">
        <f t="shared" si="5"/>
        <v>141.8453627073869</v>
      </c>
      <c r="S6" s="2" t="s">
        <v>92</v>
      </c>
      <c r="T6" s="40">
        <f t="shared" si="6"/>
        <v>1.3571428571428571E-2</v>
      </c>
      <c r="U6" s="17">
        <f t="shared" si="2"/>
        <v>192.50442081716793</v>
      </c>
      <c r="W6" s="2" t="s">
        <v>45</v>
      </c>
      <c r="X6" s="39">
        <f t="shared" si="7"/>
        <v>5.6603773584905656E-3</v>
      </c>
      <c r="Y6" s="17">
        <f t="shared" si="8"/>
        <v>122.52158296173586</v>
      </c>
      <c r="Z6" s="2" t="s">
        <v>66</v>
      </c>
      <c r="AA6" s="39">
        <f t="shared" si="9"/>
        <v>3.3333333333333333E-2</v>
      </c>
      <c r="AB6" s="17">
        <f t="shared" si="10"/>
        <v>721.51598855244458</v>
      </c>
      <c r="AD6" s="2" t="s">
        <v>45</v>
      </c>
      <c r="AE6" s="44">
        <f t="shared" si="11"/>
        <v>5.6603773584905656E-3</v>
      </c>
      <c r="AF6" s="17">
        <f t="shared" si="12"/>
        <v>59.069382905925451</v>
      </c>
      <c r="AG6" s="2" t="s">
        <v>66</v>
      </c>
      <c r="AH6" s="38">
        <v>0.03</v>
      </c>
      <c r="AI6" s="15">
        <f t="shared" ref="AI6:AI24" si="21">$AI$1*AH6</f>
        <v>313.0677294014049</v>
      </c>
      <c r="AK6" s="2" t="s">
        <v>45</v>
      </c>
      <c r="AL6" s="43">
        <f t="shared" si="13"/>
        <v>9.433962264150943E-3</v>
      </c>
      <c r="AM6" s="17">
        <f t="shared" si="14"/>
        <v>180.09244639197721</v>
      </c>
      <c r="AN6" s="2" t="s">
        <v>6</v>
      </c>
      <c r="AO6" s="43">
        <f t="shared" si="15"/>
        <v>1.1111111111111112E-2</v>
      </c>
      <c r="AP6" s="15">
        <f t="shared" si="16"/>
        <v>212.1088813061065</v>
      </c>
      <c r="AR6" s="2" t="s">
        <v>45</v>
      </c>
      <c r="AS6" s="46">
        <f t="shared" si="17"/>
        <v>9.433962264150943E-3</v>
      </c>
      <c r="AT6" s="17">
        <f t="shared" si="18"/>
        <v>75.27171370085388</v>
      </c>
      <c r="AU6" s="2" t="s">
        <v>6</v>
      </c>
      <c r="AV6" s="85">
        <f t="shared" si="19"/>
        <v>1.4285714285714285E-2</v>
      </c>
      <c r="AW6" s="15">
        <f t="shared" si="20"/>
        <v>113.9828807470073</v>
      </c>
    </row>
    <row r="7" spans="2:49" x14ac:dyDescent="0.35">
      <c r="B7" s="2" t="s">
        <v>28</v>
      </c>
      <c r="C7" s="36">
        <v>0.05</v>
      </c>
      <c r="D7" s="17">
        <f t="shared" si="3"/>
        <v>653.44750295194831</v>
      </c>
      <c r="E7" s="2" t="s">
        <v>224</v>
      </c>
      <c r="F7" s="36">
        <v>0.05</v>
      </c>
      <c r="G7" s="17">
        <f t="shared" si="0"/>
        <v>980.17125442792246</v>
      </c>
      <c r="I7" s="2" t="s">
        <v>28</v>
      </c>
      <c r="J7" s="42">
        <v>0.01</v>
      </c>
      <c r="K7" s="17">
        <f t="shared" si="4"/>
        <v>91.982084876018163</v>
      </c>
      <c r="L7" s="2" t="s">
        <v>122</v>
      </c>
      <c r="M7" s="36">
        <v>0.02</v>
      </c>
      <c r="N7" s="17">
        <f t="shared" si="1"/>
        <v>183.96416975203633</v>
      </c>
      <c r="P7" s="2" t="s">
        <v>28</v>
      </c>
      <c r="Q7" s="14">
        <v>1.1320754716981131E-2</v>
      </c>
      <c r="R7" s="17">
        <f t="shared" si="5"/>
        <v>160.57965589515499</v>
      </c>
      <c r="S7" s="2" t="s">
        <v>61</v>
      </c>
      <c r="T7" s="40">
        <f t="shared" si="6"/>
        <v>1.3571428571428571E-2</v>
      </c>
      <c r="U7" s="17">
        <f t="shared" si="2"/>
        <v>192.50442081716793</v>
      </c>
      <c r="W7" s="2" t="s">
        <v>28</v>
      </c>
      <c r="X7" s="39">
        <f t="shared" si="7"/>
        <v>5.6603773584905656E-3</v>
      </c>
      <c r="Y7" s="17">
        <f t="shared" si="8"/>
        <v>122.52158296173586</v>
      </c>
      <c r="Z7" s="2" t="s">
        <v>67</v>
      </c>
      <c r="AA7" s="39">
        <f t="shared" si="9"/>
        <v>3.3333333333333333E-2</v>
      </c>
      <c r="AB7" s="17">
        <f t="shared" si="10"/>
        <v>721.51598855244458</v>
      </c>
      <c r="AD7" s="2" t="s">
        <v>28</v>
      </c>
      <c r="AE7" s="44">
        <f t="shared" si="11"/>
        <v>5.6603773584905656E-3</v>
      </c>
      <c r="AF7" s="17">
        <f t="shared" si="12"/>
        <v>59.069382905925451</v>
      </c>
      <c r="AG7" s="2" t="s">
        <v>67</v>
      </c>
      <c r="AH7" s="38">
        <v>0.05</v>
      </c>
      <c r="AI7" s="15">
        <f t="shared" si="21"/>
        <v>521.77954900234158</v>
      </c>
      <c r="AK7" s="2" t="s">
        <v>28</v>
      </c>
      <c r="AL7" s="43">
        <f t="shared" si="13"/>
        <v>9.433962264150943E-3</v>
      </c>
      <c r="AM7" s="17">
        <f t="shared" si="14"/>
        <v>180.09244639197721</v>
      </c>
      <c r="AN7" s="2" t="s">
        <v>66</v>
      </c>
      <c r="AO7" s="43">
        <f t="shared" si="15"/>
        <v>1.1111111111111112E-2</v>
      </c>
      <c r="AP7" s="15">
        <f t="shared" si="16"/>
        <v>212.1088813061065</v>
      </c>
      <c r="AR7" s="2" t="s">
        <v>28</v>
      </c>
      <c r="AS7" s="46">
        <f t="shared" si="17"/>
        <v>9.433962264150943E-3</v>
      </c>
      <c r="AT7" s="17">
        <f t="shared" si="18"/>
        <v>75.27171370085388</v>
      </c>
      <c r="AU7" s="2" t="s">
        <v>106</v>
      </c>
      <c r="AV7" s="85">
        <f t="shared" si="19"/>
        <v>1.4285714285714285E-2</v>
      </c>
      <c r="AW7" s="15">
        <f t="shared" si="20"/>
        <v>113.9828807470073</v>
      </c>
    </row>
    <row r="8" spans="2:49" x14ac:dyDescent="0.35">
      <c r="B8" s="2" t="s">
        <v>32</v>
      </c>
      <c r="C8" s="36">
        <v>0.03</v>
      </c>
      <c r="D8" s="17">
        <f t="shared" si="3"/>
        <v>392.06850177116894</v>
      </c>
      <c r="E8" s="2" t="s">
        <v>96</v>
      </c>
      <c r="F8" s="36">
        <v>0.04</v>
      </c>
      <c r="G8" s="17">
        <f t="shared" si="0"/>
        <v>784.13700354233788</v>
      </c>
      <c r="I8" s="2" t="s">
        <v>32</v>
      </c>
      <c r="J8" s="42">
        <v>0.01</v>
      </c>
      <c r="K8" s="17">
        <f t="shared" si="4"/>
        <v>91.982084876018163</v>
      </c>
      <c r="L8" s="2" t="s">
        <v>108</v>
      </c>
      <c r="M8" s="36">
        <v>0.15</v>
      </c>
      <c r="N8" s="17">
        <f t="shared" si="1"/>
        <v>1379.7312731402724</v>
      </c>
      <c r="P8" s="2" t="s">
        <v>32</v>
      </c>
      <c r="Q8" s="14">
        <v>1.1320754716981131E-2</v>
      </c>
      <c r="R8" s="17">
        <f t="shared" si="5"/>
        <v>160.57965589515499</v>
      </c>
      <c r="S8" s="2" t="s">
        <v>224</v>
      </c>
      <c r="T8" s="40">
        <f t="shared" si="6"/>
        <v>1.3571428571428571E-2</v>
      </c>
      <c r="U8" s="17">
        <f t="shared" si="2"/>
        <v>192.50442081716793</v>
      </c>
      <c r="W8" s="2" t="s">
        <v>32</v>
      </c>
      <c r="X8" s="39">
        <f t="shared" si="7"/>
        <v>5.6603773584905656E-3</v>
      </c>
      <c r="Y8" s="17">
        <f t="shared" si="8"/>
        <v>122.52158296173586</v>
      </c>
      <c r="Z8" s="2" t="s">
        <v>3</v>
      </c>
      <c r="AA8" s="39">
        <f t="shared" si="9"/>
        <v>3.3333333333333333E-2</v>
      </c>
      <c r="AB8" s="17">
        <f t="shared" si="10"/>
        <v>721.51598855244458</v>
      </c>
      <c r="AD8" s="2" t="s">
        <v>32</v>
      </c>
      <c r="AE8" s="44">
        <f t="shared" si="11"/>
        <v>5.6603773584905656E-3</v>
      </c>
      <c r="AF8" s="17">
        <f t="shared" si="12"/>
        <v>59.069382905925451</v>
      </c>
      <c r="AG8" s="2" t="s">
        <v>3</v>
      </c>
      <c r="AH8" s="38">
        <v>0.02</v>
      </c>
      <c r="AI8" s="15">
        <f t="shared" si="21"/>
        <v>208.71181960093662</v>
      </c>
      <c r="AK8" s="2" t="s">
        <v>32</v>
      </c>
      <c r="AL8" s="43">
        <f t="shared" si="13"/>
        <v>9.433962264150943E-3</v>
      </c>
      <c r="AM8" s="17">
        <f t="shared" si="14"/>
        <v>180.09244639197721</v>
      </c>
      <c r="AN8" s="2" t="s">
        <v>67</v>
      </c>
      <c r="AO8" s="43">
        <f t="shared" si="15"/>
        <v>1.1111111111111112E-2</v>
      </c>
      <c r="AP8" s="15">
        <f t="shared" si="16"/>
        <v>212.1088813061065</v>
      </c>
      <c r="AR8" s="2" t="s">
        <v>32</v>
      </c>
      <c r="AS8" s="46">
        <f t="shared" si="17"/>
        <v>9.433962264150943E-3</v>
      </c>
      <c r="AT8" s="17">
        <f t="shared" si="18"/>
        <v>75.27171370085388</v>
      </c>
      <c r="AU8" s="2" t="s">
        <v>112</v>
      </c>
      <c r="AV8" s="85">
        <f t="shared" si="19"/>
        <v>1.4285714285714285E-2</v>
      </c>
      <c r="AW8" s="15">
        <f t="shared" si="20"/>
        <v>113.9828807470073</v>
      </c>
    </row>
    <row r="9" spans="2:49" x14ac:dyDescent="0.35">
      <c r="B9" s="2" t="s">
        <v>87</v>
      </c>
      <c r="C9" s="36">
        <v>0.03</v>
      </c>
      <c r="D9" s="17">
        <f t="shared" si="3"/>
        <v>392.06850177116894</v>
      </c>
      <c r="E9" s="2" t="s">
        <v>94</v>
      </c>
      <c r="F9" s="36">
        <v>0.04</v>
      </c>
      <c r="G9" s="17">
        <f t="shared" si="0"/>
        <v>784.13700354233788</v>
      </c>
      <c r="I9" s="2" t="s">
        <v>87</v>
      </c>
      <c r="J9" s="42">
        <v>0.01</v>
      </c>
      <c r="K9" s="17">
        <f t="shared" si="4"/>
        <v>91.982084876018163</v>
      </c>
      <c r="L9" s="2" t="s">
        <v>114</v>
      </c>
      <c r="M9" s="36">
        <v>0.15</v>
      </c>
      <c r="N9" s="17">
        <f t="shared" si="1"/>
        <v>1379.7312731402724</v>
      </c>
      <c r="P9" s="2" t="s">
        <v>87</v>
      </c>
      <c r="Q9" s="14">
        <v>2.5000000000000001E-2</v>
      </c>
      <c r="R9" s="17">
        <f t="shared" si="5"/>
        <v>354.61340676846726</v>
      </c>
      <c r="S9" s="2" t="s">
        <v>96</v>
      </c>
      <c r="T9" s="40">
        <f t="shared" si="6"/>
        <v>1.3571428571428571E-2</v>
      </c>
      <c r="U9" s="17">
        <f t="shared" si="2"/>
        <v>192.50442081716793</v>
      </c>
      <c r="W9" s="2" t="s">
        <v>87</v>
      </c>
      <c r="X9" s="39">
        <f t="shared" si="7"/>
        <v>5.6603773584905656E-3</v>
      </c>
      <c r="Y9" s="17">
        <f t="shared" si="8"/>
        <v>122.52158296173586</v>
      </c>
      <c r="Z9" s="2" t="s">
        <v>103</v>
      </c>
      <c r="AA9" s="39">
        <f t="shared" si="9"/>
        <v>3.3333333333333333E-2</v>
      </c>
      <c r="AB9" s="17">
        <f t="shared" si="10"/>
        <v>721.51598855244458</v>
      </c>
      <c r="AD9" s="2" t="s">
        <v>87</v>
      </c>
      <c r="AE9" s="44">
        <f t="shared" si="11"/>
        <v>5.6603773584905656E-3</v>
      </c>
      <c r="AF9" s="17">
        <f t="shared" si="12"/>
        <v>59.069382905925451</v>
      </c>
      <c r="AG9" s="2" t="s">
        <v>103</v>
      </c>
      <c r="AH9" s="38">
        <v>0.02</v>
      </c>
      <c r="AI9" s="15">
        <f t="shared" si="21"/>
        <v>208.71181960093662</v>
      </c>
      <c r="AK9" s="2" t="s">
        <v>87</v>
      </c>
      <c r="AL9" s="43">
        <f t="shared" si="13"/>
        <v>9.433962264150943E-3</v>
      </c>
      <c r="AM9" s="17">
        <f t="shared" si="14"/>
        <v>180.09244639197721</v>
      </c>
      <c r="AN9" s="2" t="s">
        <v>106</v>
      </c>
      <c r="AO9" s="43">
        <f t="shared" si="15"/>
        <v>1.1111111111111112E-2</v>
      </c>
      <c r="AP9" s="15">
        <f t="shared" si="16"/>
        <v>212.1088813061065</v>
      </c>
      <c r="AR9" s="2" t="s">
        <v>87</v>
      </c>
      <c r="AS9" s="46">
        <f t="shared" si="17"/>
        <v>9.433962264150943E-3</v>
      </c>
      <c r="AT9" s="17">
        <f t="shared" si="18"/>
        <v>75.27171370085388</v>
      </c>
      <c r="AU9" s="2" t="s">
        <v>126</v>
      </c>
      <c r="AV9" s="85">
        <f t="shared" si="19"/>
        <v>1.4285714285714285E-2</v>
      </c>
      <c r="AW9" s="15">
        <f t="shared" si="20"/>
        <v>113.9828807470073</v>
      </c>
    </row>
    <row r="10" spans="2:49" x14ac:dyDescent="0.35">
      <c r="B10" s="2" t="s">
        <v>13</v>
      </c>
      <c r="C10" s="36">
        <v>0.03</v>
      </c>
      <c r="D10" s="17">
        <f t="shared" si="3"/>
        <v>392.06850177116894</v>
      </c>
      <c r="E10" s="2" t="s">
        <v>83</v>
      </c>
      <c r="F10" s="36">
        <v>0.03</v>
      </c>
      <c r="G10" s="17">
        <f t="shared" si="0"/>
        <v>588.10275265675341</v>
      </c>
      <c r="I10" s="2" t="s">
        <v>13</v>
      </c>
      <c r="J10" s="42">
        <v>0.01</v>
      </c>
      <c r="K10" s="17">
        <f t="shared" si="4"/>
        <v>91.982084876018163</v>
      </c>
      <c r="L10" s="2" t="s">
        <v>111</v>
      </c>
      <c r="M10" s="36">
        <v>0.05</v>
      </c>
      <c r="N10" s="17">
        <f t="shared" si="1"/>
        <v>459.91042438009083</v>
      </c>
      <c r="P10" s="2" t="s">
        <v>13</v>
      </c>
      <c r="Q10" s="14">
        <v>2.3199999999999998E-2</v>
      </c>
      <c r="R10" s="17">
        <f t="shared" si="5"/>
        <v>329.08124148113757</v>
      </c>
      <c r="S10" s="2" t="s">
        <v>56</v>
      </c>
      <c r="T10" s="40">
        <f t="shared" si="6"/>
        <v>1.3571428571428571E-2</v>
      </c>
      <c r="U10" s="17">
        <f t="shared" si="2"/>
        <v>192.50442081716793</v>
      </c>
      <c r="W10" s="2" t="s">
        <v>13</v>
      </c>
      <c r="X10" s="39">
        <f t="shared" si="7"/>
        <v>5.6603773584905656E-3</v>
      </c>
      <c r="Y10" s="17">
        <f t="shared" si="8"/>
        <v>122.52158296173586</v>
      </c>
      <c r="Z10" s="2" t="s">
        <v>74</v>
      </c>
      <c r="AA10" s="39">
        <f t="shared" si="9"/>
        <v>3.3333333333333333E-2</v>
      </c>
      <c r="AB10" s="17">
        <f t="shared" si="10"/>
        <v>721.51598855244458</v>
      </c>
      <c r="AD10" s="2" t="s">
        <v>13</v>
      </c>
      <c r="AE10" s="44">
        <f t="shared" si="11"/>
        <v>5.6603773584905656E-3</v>
      </c>
      <c r="AF10" s="17">
        <f t="shared" si="12"/>
        <v>59.069382905925451</v>
      </c>
      <c r="AG10" s="2" t="s">
        <v>74</v>
      </c>
      <c r="AH10" s="38">
        <v>0.08</v>
      </c>
      <c r="AI10" s="15">
        <f t="shared" si="21"/>
        <v>834.84727840374649</v>
      </c>
      <c r="AK10" s="2" t="s">
        <v>13</v>
      </c>
      <c r="AL10" s="43">
        <f t="shared" si="13"/>
        <v>9.433962264150943E-3</v>
      </c>
      <c r="AM10" s="17">
        <f t="shared" si="14"/>
        <v>180.09244639197721</v>
      </c>
      <c r="AN10" s="2" t="s">
        <v>112</v>
      </c>
      <c r="AO10" s="43">
        <f t="shared" si="15"/>
        <v>1.1111111111111112E-2</v>
      </c>
      <c r="AP10" s="15">
        <f t="shared" si="16"/>
        <v>212.1088813061065</v>
      </c>
      <c r="AR10" s="2" t="s">
        <v>13</v>
      </c>
      <c r="AS10" s="46">
        <f t="shared" si="17"/>
        <v>9.433962264150943E-3</v>
      </c>
      <c r="AT10" s="17">
        <f t="shared" si="18"/>
        <v>75.27171370085388</v>
      </c>
      <c r="AU10" s="2" t="s">
        <v>127</v>
      </c>
      <c r="AV10" s="85">
        <f t="shared" si="19"/>
        <v>1.4285714285714285E-2</v>
      </c>
      <c r="AW10" s="15">
        <f t="shared" si="20"/>
        <v>113.9828807470073</v>
      </c>
    </row>
    <row r="11" spans="2:49" x14ac:dyDescent="0.35">
      <c r="B11" s="2" t="s">
        <v>71</v>
      </c>
      <c r="C11" s="36">
        <v>0.01</v>
      </c>
      <c r="D11" s="17">
        <f t="shared" si="3"/>
        <v>130.68950059038966</v>
      </c>
      <c r="E11" s="2" t="s">
        <v>102</v>
      </c>
      <c r="F11" s="36">
        <v>0.06</v>
      </c>
      <c r="G11" s="17">
        <f t="shared" si="0"/>
        <v>1176.2055053135068</v>
      </c>
      <c r="I11" s="2" t="s">
        <v>71</v>
      </c>
      <c r="J11" s="42">
        <v>0.01</v>
      </c>
      <c r="K11" s="17">
        <f t="shared" si="4"/>
        <v>91.982084876018163</v>
      </c>
      <c r="L11" s="2" t="s">
        <v>110</v>
      </c>
      <c r="M11" s="36">
        <v>0.05</v>
      </c>
      <c r="N11" s="17">
        <f t="shared" si="1"/>
        <v>459.91042438009083</v>
      </c>
      <c r="P11" s="2" t="s">
        <v>71</v>
      </c>
      <c r="Q11" s="14">
        <v>1.1320754716981131E-2</v>
      </c>
      <c r="R11" s="17">
        <f t="shared" si="5"/>
        <v>160.57965589515499</v>
      </c>
      <c r="S11" s="2" t="s">
        <v>94</v>
      </c>
      <c r="T11" s="40">
        <f t="shared" si="6"/>
        <v>1.3571428571428571E-2</v>
      </c>
      <c r="U11" s="17">
        <f t="shared" si="2"/>
        <v>192.50442081716793</v>
      </c>
      <c r="W11" s="2" t="s">
        <v>71</v>
      </c>
      <c r="X11" s="39">
        <f t="shared" si="7"/>
        <v>5.6603773584905656E-3</v>
      </c>
      <c r="Y11" s="17">
        <f t="shared" si="8"/>
        <v>122.52158296173586</v>
      </c>
      <c r="Z11" s="2" t="s">
        <v>65</v>
      </c>
      <c r="AA11" s="39">
        <f t="shared" si="9"/>
        <v>3.3333333333333333E-2</v>
      </c>
      <c r="AB11" s="17">
        <f t="shared" si="10"/>
        <v>721.51598855244458</v>
      </c>
      <c r="AD11" s="2" t="s">
        <v>71</v>
      </c>
      <c r="AE11" s="44">
        <f t="shared" si="11"/>
        <v>5.6603773584905656E-3</v>
      </c>
      <c r="AF11" s="17">
        <f t="shared" si="12"/>
        <v>59.069382905925451</v>
      </c>
      <c r="AG11" s="2" t="s">
        <v>65</v>
      </c>
      <c r="AH11" s="38">
        <v>0.01</v>
      </c>
      <c r="AI11" s="15">
        <f t="shared" si="21"/>
        <v>104.35590980046831</v>
      </c>
      <c r="AK11" s="2" t="s">
        <v>71</v>
      </c>
      <c r="AL11" s="43">
        <f t="shared" si="13"/>
        <v>9.433962264150943E-3</v>
      </c>
      <c r="AM11" s="17">
        <f t="shared" si="14"/>
        <v>180.09244639197721</v>
      </c>
      <c r="AN11" s="2" t="s">
        <v>126</v>
      </c>
      <c r="AO11" s="43">
        <f t="shared" si="15"/>
        <v>1.1111111111111112E-2</v>
      </c>
      <c r="AP11" s="15">
        <f t="shared" si="16"/>
        <v>212.1088813061065</v>
      </c>
      <c r="AR11" s="2" t="s">
        <v>71</v>
      </c>
      <c r="AS11" s="46">
        <f t="shared" si="17"/>
        <v>9.433962264150943E-3</v>
      </c>
      <c r="AT11" s="17">
        <f t="shared" si="18"/>
        <v>75.27171370085388</v>
      </c>
      <c r="AU11" s="2" t="s">
        <v>3</v>
      </c>
      <c r="AV11" s="85">
        <f t="shared" si="19"/>
        <v>1.4285714285714285E-2</v>
      </c>
      <c r="AW11" s="15">
        <f t="shared" si="20"/>
        <v>113.9828807470073</v>
      </c>
    </row>
    <row r="12" spans="2:49" x14ac:dyDescent="0.35">
      <c r="B12" s="2" t="s">
        <v>12</v>
      </c>
      <c r="C12" s="36">
        <v>0.03</v>
      </c>
      <c r="D12" s="17">
        <f t="shared" si="3"/>
        <v>392.06850177116894</v>
      </c>
      <c r="E12" s="2" t="s">
        <v>100</v>
      </c>
      <c r="F12" s="36">
        <v>0.03</v>
      </c>
      <c r="G12" s="17">
        <f t="shared" si="0"/>
        <v>588.10275265675341</v>
      </c>
      <c r="I12" s="2" t="s">
        <v>12</v>
      </c>
      <c r="J12" s="42">
        <v>0.01</v>
      </c>
      <c r="K12" s="17">
        <f t="shared" si="4"/>
        <v>91.982084876018163</v>
      </c>
      <c r="L12" s="2" t="s">
        <v>105</v>
      </c>
      <c r="M12" s="36">
        <v>0.04</v>
      </c>
      <c r="N12" s="17">
        <f t="shared" si="1"/>
        <v>367.92833950407265</v>
      </c>
      <c r="P12" s="2" t="s">
        <v>12</v>
      </c>
      <c r="Q12" s="14">
        <v>1.1320754716981131E-2</v>
      </c>
      <c r="R12" s="17">
        <f t="shared" si="5"/>
        <v>160.57965589515499</v>
      </c>
      <c r="S12" s="2" t="s">
        <v>83</v>
      </c>
      <c r="T12" s="40">
        <f t="shared" si="6"/>
        <v>1.3571428571428571E-2</v>
      </c>
      <c r="U12" s="17">
        <f t="shared" si="2"/>
        <v>192.50442081716793</v>
      </c>
      <c r="W12" s="2" t="s">
        <v>12</v>
      </c>
      <c r="X12" s="39">
        <f t="shared" si="7"/>
        <v>5.6603773584905656E-3</v>
      </c>
      <c r="Y12" s="17">
        <f t="shared" si="8"/>
        <v>122.52158296173586</v>
      </c>
      <c r="Z12" s="2" t="s">
        <v>10</v>
      </c>
      <c r="AA12" s="39">
        <f t="shared" si="9"/>
        <v>3.3333333333333333E-2</v>
      </c>
      <c r="AB12" s="17">
        <f t="shared" si="10"/>
        <v>721.51598855244458</v>
      </c>
      <c r="AD12" s="2" t="s">
        <v>12</v>
      </c>
      <c r="AE12" s="44">
        <f t="shared" si="11"/>
        <v>5.6603773584905656E-3</v>
      </c>
      <c r="AF12" s="17">
        <f t="shared" si="12"/>
        <v>59.069382905925451</v>
      </c>
      <c r="AG12" s="2" t="s">
        <v>10</v>
      </c>
      <c r="AH12" s="38">
        <v>0.01</v>
      </c>
      <c r="AI12" s="15">
        <f t="shared" si="21"/>
        <v>104.35590980046831</v>
      </c>
      <c r="AK12" s="2" t="s">
        <v>12</v>
      </c>
      <c r="AL12" s="43">
        <f t="shared" si="13"/>
        <v>9.433962264150943E-3</v>
      </c>
      <c r="AM12" s="17">
        <f t="shared" si="14"/>
        <v>180.09244639197721</v>
      </c>
      <c r="AN12" s="2" t="s">
        <v>127</v>
      </c>
      <c r="AO12" s="43">
        <f t="shared" si="15"/>
        <v>1.1111111111111112E-2</v>
      </c>
      <c r="AP12" s="15">
        <f t="shared" si="16"/>
        <v>212.1088813061065</v>
      </c>
      <c r="AR12" s="2" t="s">
        <v>12</v>
      </c>
      <c r="AS12" s="46">
        <f t="shared" si="17"/>
        <v>9.433962264150943E-3</v>
      </c>
      <c r="AT12" s="17">
        <f t="shared" si="18"/>
        <v>75.27171370085388</v>
      </c>
      <c r="AU12" s="2" t="s">
        <v>103</v>
      </c>
      <c r="AV12" s="85">
        <f t="shared" si="19"/>
        <v>1.4285714285714285E-2</v>
      </c>
      <c r="AW12" s="15">
        <f t="shared" si="20"/>
        <v>113.9828807470073</v>
      </c>
    </row>
    <row r="13" spans="2:49" x14ac:dyDescent="0.35">
      <c r="B13" s="2" t="s">
        <v>27</v>
      </c>
      <c r="C13" s="36">
        <v>0.02</v>
      </c>
      <c r="D13" s="17">
        <f t="shared" si="3"/>
        <v>261.37900118077931</v>
      </c>
      <c r="E13" s="2" t="s">
        <v>90</v>
      </c>
      <c r="F13" s="36">
        <v>0.04</v>
      </c>
      <c r="G13" s="17">
        <f t="shared" si="0"/>
        <v>784.13700354233788</v>
      </c>
      <c r="I13" s="2" t="s">
        <v>27</v>
      </c>
      <c r="J13" s="42">
        <v>0.01</v>
      </c>
      <c r="K13" s="17">
        <f t="shared" si="4"/>
        <v>91.982084876018163</v>
      </c>
      <c r="L13" s="2" t="s">
        <v>123</v>
      </c>
      <c r="M13" s="36">
        <v>0.05</v>
      </c>
      <c r="N13" s="17">
        <f t="shared" si="1"/>
        <v>459.91042438009083</v>
      </c>
      <c r="P13" s="2" t="s">
        <v>27</v>
      </c>
      <c r="Q13" s="14">
        <v>1.1320754716981131E-2</v>
      </c>
      <c r="R13" s="17">
        <f t="shared" si="5"/>
        <v>160.57965589515499</v>
      </c>
      <c r="S13" s="2" t="s">
        <v>102</v>
      </c>
      <c r="T13" s="40">
        <f t="shared" si="6"/>
        <v>1.3571428571428571E-2</v>
      </c>
      <c r="U13" s="17">
        <f t="shared" si="2"/>
        <v>192.50442081716793</v>
      </c>
      <c r="W13" s="2" t="s">
        <v>27</v>
      </c>
      <c r="X13" s="39">
        <f t="shared" si="7"/>
        <v>5.6603773584905656E-3</v>
      </c>
      <c r="Y13" s="17">
        <f t="shared" si="8"/>
        <v>122.52158296173586</v>
      </c>
      <c r="Z13" s="2" t="s">
        <v>223</v>
      </c>
      <c r="AA13" s="39">
        <f t="shared" si="9"/>
        <v>3.3333333333333333E-2</v>
      </c>
      <c r="AB13" s="17">
        <f t="shared" si="10"/>
        <v>721.51598855244458</v>
      </c>
      <c r="AD13" s="2" t="s">
        <v>27</v>
      </c>
      <c r="AE13" s="44">
        <f t="shared" si="11"/>
        <v>5.6603773584905656E-3</v>
      </c>
      <c r="AF13" s="17">
        <f t="shared" si="12"/>
        <v>59.069382905925451</v>
      </c>
      <c r="AG13" s="2" t="s">
        <v>223</v>
      </c>
      <c r="AH13" s="38">
        <v>0.1</v>
      </c>
      <c r="AI13" s="15">
        <f t="shared" si="21"/>
        <v>1043.5590980046832</v>
      </c>
      <c r="AK13" s="2" t="s">
        <v>27</v>
      </c>
      <c r="AL13" s="43">
        <f t="shared" si="13"/>
        <v>9.433962264150943E-3</v>
      </c>
      <c r="AM13" s="17">
        <f t="shared" si="14"/>
        <v>180.09244639197721</v>
      </c>
      <c r="AN13" s="2" t="s">
        <v>3</v>
      </c>
      <c r="AO13" s="43">
        <f t="shared" si="15"/>
        <v>1.1111111111111112E-2</v>
      </c>
      <c r="AP13" s="15">
        <f t="shared" si="16"/>
        <v>212.1088813061065</v>
      </c>
      <c r="AR13" s="2" t="s">
        <v>27</v>
      </c>
      <c r="AS13" s="46">
        <f t="shared" si="17"/>
        <v>9.433962264150943E-3</v>
      </c>
      <c r="AT13" s="17">
        <f t="shared" si="18"/>
        <v>75.27171370085388</v>
      </c>
      <c r="AU13" s="2" t="s">
        <v>223</v>
      </c>
      <c r="AV13" s="85">
        <f t="shared" si="19"/>
        <v>1.4285714285714285E-2</v>
      </c>
      <c r="AW13" s="15">
        <f t="shared" si="20"/>
        <v>113.9828807470073</v>
      </c>
    </row>
    <row r="14" spans="2:49" x14ac:dyDescent="0.35">
      <c r="B14" s="2" t="s">
        <v>79</v>
      </c>
      <c r="C14" s="36">
        <v>0.02</v>
      </c>
      <c r="D14" s="17">
        <f t="shared" si="3"/>
        <v>261.37900118077931</v>
      </c>
      <c r="E14" s="3" t="s">
        <v>98</v>
      </c>
      <c r="F14" s="36">
        <v>0.03</v>
      </c>
      <c r="G14" s="17">
        <f t="shared" si="0"/>
        <v>588.10275265675341</v>
      </c>
      <c r="I14" s="2" t="s">
        <v>79</v>
      </c>
      <c r="J14" s="42">
        <v>0.01</v>
      </c>
      <c r="K14" s="17">
        <f t="shared" si="4"/>
        <v>91.982084876018163</v>
      </c>
      <c r="L14" s="2" t="s">
        <v>121</v>
      </c>
      <c r="M14" s="36">
        <v>0.04</v>
      </c>
      <c r="N14" s="17">
        <f t="shared" si="1"/>
        <v>367.92833950407265</v>
      </c>
      <c r="P14" s="2" t="s">
        <v>79</v>
      </c>
      <c r="Q14" s="14">
        <v>0.02</v>
      </c>
      <c r="R14" s="17">
        <f t="shared" si="5"/>
        <v>283.69072541477379</v>
      </c>
      <c r="S14" s="2" t="s">
        <v>100</v>
      </c>
      <c r="T14" s="40">
        <f t="shared" si="6"/>
        <v>1.3571428571428571E-2</v>
      </c>
      <c r="U14" s="17">
        <f t="shared" si="2"/>
        <v>192.50442081716793</v>
      </c>
      <c r="W14" s="2" t="s">
        <v>79</v>
      </c>
      <c r="X14" s="39">
        <f t="shared" si="7"/>
        <v>5.6603773584905656E-3</v>
      </c>
      <c r="Y14" s="17">
        <f t="shared" si="8"/>
        <v>122.52158296173586</v>
      </c>
      <c r="Z14" s="2" t="s">
        <v>2</v>
      </c>
      <c r="AA14" s="39">
        <f t="shared" si="9"/>
        <v>3.3333333333333333E-2</v>
      </c>
      <c r="AB14" s="17">
        <f t="shared" si="10"/>
        <v>721.51598855244458</v>
      </c>
      <c r="AD14" s="2" t="s">
        <v>79</v>
      </c>
      <c r="AE14" s="44">
        <f t="shared" si="11"/>
        <v>5.6603773584905656E-3</v>
      </c>
      <c r="AF14" s="17">
        <f t="shared" si="12"/>
        <v>59.069382905925451</v>
      </c>
      <c r="AG14" s="2" t="s">
        <v>2</v>
      </c>
      <c r="AH14" s="38">
        <v>0.05</v>
      </c>
      <c r="AI14" s="15">
        <f t="shared" si="21"/>
        <v>521.77954900234158</v>
      </c>
      <c r="AK14" s="2" t="s">
        <v>79</v>
      </c>
      <c r="AL14" s="43">
        <f t="shared" si="13"/>
        <v>9.433962264150943E-3</v>
      </c>
      <c r="AM14" s="17">
        <f t="shared" si="14"/>
        <v>180.09244639197721</v>
      </c>
      <c r="AN14" s="2" t="s">
        <v>103</v>
      </c>
      <c r="AO14" s="43">
        <f t="shared" si="15"/>
        <v>1.1111111111111112E-2</v>
      </c>
      <c r="AP14" s="15">
        <f t="shared" si="16"/>
        <v>212.1088813061065</v>
      </c>
      <c r="AR14" s="2" t="s">
        <v>79</v>
      </c>
      <c r="AS14" s="46">
        <f t="shared" si="17"/>
        <v>9.433962264150943E-3</v>
      </c>
      <c r="AT14" s="17">
        <f t="shared" si="18"/>
        <v>75.27171370085388</v>
      </c>
      <c r="AU14" s="2" t="s">
        <v>2</v>
      </c>
      <c r="AV14" s="85">
        <f t="shared" si="19"/>
        <v>1.4285714285714285E-2</v>
      </c>
      <c r="AW14" s="15">
        <f t="shared" si="20"/>
        <v>113.9828807470073</v>
      </c>
    </row>
    <row r="15" spans="2:49" x14ac:dyDescent="0.35">
      <c r="B15" s="2" t="s">
        <v>23</v>
      </c>
      <c r="C15" s="36">
        <v>0.02</v>
      </c>
      <c r="D15" s="17">
        <f t="shared" si="3"/>
        <v>261.37900118077931</v>
      </c>
      <c r="E15" s="2" t="s">
        <v>78</v>
      </c>
      <c r="F15" s="36">
        <v>0.04</v>
      </c>
      <c r="G15" s="17">
        <f t="shared" si="0"/>
        <v>784.13700354233788</v>
      </c>
      <c r="I15" s="2" t="s">
        <v>23</v>
      </c>
      <c r="J15" s="42">
        <v>0.01</v>
      </c>
      <c r="K15" s="17">
        <f t="shared" si="4"/>
        <v>91.982084876018163</v>
      </c>
      <c r="L15" s="2" t="s">
        <v>118</v>
      </c>
      <c r="M15" s="36">
        <v>0.04</v>
      </c>
      <c r="N15" s="17">
        <f t="shared" si="1"/>
        <v>367.92833950407265</v>
      </c>
      <c r="P15" s="2" t="s">
        <v>23</v>
      </c>
      <c r="Q15" s="14">
        <v>1.1320754716981131E-2</v>
      </c>
      <c r="R15" s="17">
        <f t="shared" si="5"/>
        <v>160.57965589515499</v>
      </c>
      <c r="S15" s="2" t="s">
        <v>90</v>
      </c>
      <c r="T15" s="40">
        <f t="shared" si="6"/>
        <v>1.3571428571428571E-2</v>
      </c>
      <c r="U15" s="17">
        <f t="shared" si="2"/>
        <v>192.50442081716793</v>
      </c>
      <c r="W15" s="2" t="s">
        <v>23</v>
      </c>
      <c r="X15" s="39">
        <f t="shared" si="7"/>
        <v>5.6603773584905656E-3</v>
      </c>
      <c r="Y15" s="17">
        <f t="shared" si="8"/>
        <v>122.52158296173586</v>
      </c>
      <c r="Z15" s="2" t="s">
        <v>9</v>
      </c>
      <c r="AA15" s="39">
        <f t="shared" si="9"/>
        <v>3.3333333333333333E-2</v>
      </c>
      <c r="AB15" s="17">
        <f t="shared" si="10"/>
        <v>721.51598855244458</v>
      </c>
      <c r="AD15" s="2" t="s">
        <v>23</v>
      </c>
      <c r="AE15" s="44">
        <f t="shared" si="11"/>
        <v>5.6603773584905656E-3</v>
      </c>
      <c r="AF15" s="17">
        <f t="shared" si="12"/>
        <v>59.069382905925451</v>
      </c>
      <c r="AG15" s="2" t="s">
        <v>9</v>
      </c>
      <c r="AH15" s="38">
        <v>0.02</v>
      </c>
      <c r="AI15" s="15">
        <f t="shared" si="21"/>
        <v>208.71181960093662</v>
      </c>
      <c r="AK15" s="2" t="s">
        <v>23</v>
      </c>
      <c r="AL15" s="43">
        <f t="shared" si="13"/>
        <v>9.433962264150943E-3</v>
      </c>
      <c r="AM15" s="17">
        <f t="shared" si="14"/>
        <v>180.09244639197721</v>
      </c>
      <c r="AN15" s="2" t="s">
        <v>74</v>
      </c>
      <c r="AO15" s="43">
        <f t="shared" si="15"/>
        <v>1.1111111111111112E-2</v>
      </c>
      <c r="AP15" s="15">
        <f t="shared" si="16"/>
        <v>212.1088813061065</v>
      </c>
      <c r="AR15" s="2" t="s">
        <v>23</v>
      </c>
      <c r="AS15" s="46">
        <f t="shared" si="17"/>
        <v>9.433962264150943E-3</v>
      </c>
      <c r="AT15" s="17">
        <f t="shared" si="18"/>
        <v>75.27171370085388</v>
      </c>
      <c r="AU15" s="2" t="s">
        <v>9</v>
      </c>
      <c r="AV15" s="85">
        <f t="shared" si="19"/>
        <v>1.4285714285714285E-2</v>
      </c>
      <c r="AW15" s="15">
        <f t="shared" si="20"/>
        <v>113.9828807470073</v>
      </c>
    </row>
    <row r="16" spans="2:49" x14ac:dyDescent="0.35">
      <c r="B16" s="2" t="s">
        <v>58</v>
      </c>
      <c r="C16" s="36">
        <v>0.01</v>
      </c>
      <c r="D16" s="17">
        <f t="shared" si="3"/>
        <v>130.68950059038966</v>
      </c>
      <c r="E16" s="2" t="s">
        <v>101</v>
      </c>
      <c r="F16" s="36">
        <v>0.03</v>
      </c>
      <c r="G16" s="17">
        <f t="shared" si="0"/>
        <v>588.10275265675341</v>
      </c>
      <c r="I16" s="2" t="s">
        <v>58</v>
      </c>
      <c r="J16" s="42">
        <v>0.01</v>
      </c>
      <c r="K16" s="17">
        <f t="shared" si="4"/>
        <v>91.982084876018163</v>
      </c>
      <c r="L16" s="2" t="s">
        <v>109</v>
      </c>
      <c r="M16" s="36">
        <v>0.05</v>
      </c>
      <c r="N16" s="17">
        <f t="shared" si="1"/>
        <v>459.91042438009083</v>
      </c>
      <c r="P16" s="2" t="s">
        <v>58</v>
      </c>
      <c r="Q16" s="14">
        <v>0.01</v>
      </c>
      <c r="R16" s="17">
        <f t="shared" si="5"/>
        <v>141.8453627073869</v>
      </c>
      <c r="S16" s="2" t="s">
        <v>98</v>
      </c>
      <c r="T16" s="40">
        <f t="shared" si="6"/>
        <v>1.3571428571428571E-2</v>
      </c>
      <c r="U16" s="17">
        <f t="shared" si="2"/>
        <v>192.50442081716793</v>
      </c>
      <c r="W16" s="2" t="s">
        <v>58</v>
      </c>
      <c r="X16" s="39">
        <f t="shared" si="7"/>
        <v>5.6603773584905656E-3</v>
      </c>
      <c r="Y16" s="17">
        <f t="shared" si="8"/>
        <v>122.52158296173586</v>
      </c>
      <c r="Z16" s="2" t="s">
        <v>68</v>
      </c>
      <c r="AA16" s="39">
        <f t="shared" si="9"/>
        <v>3.3333333333333333E-2</v>
      </c>
      <c r="AB16" s="17">
        <f t="shared" si="10"/>
        <v>721.51598855244458</v>
      </c>
      <c r="AD16" s="2" t="s">
        <v>58</v>
      </c>
      <c r="AE16" s="44">
        <f t="shared" si="11"/>
        <v>5.6603773584905656E-3</v>
      </c>
      <c r="AF16" s="17">
        <f t="shared" si="12"/>
        <v>59.069382905925451</v>
      </c>
      <c r="AG16" s="2" t="s">
        <v>68</v>
      </c>
      <c r="AH16" s="38">
        <v>0.03</v>
      </c>
      <c r="AI16" s="15">
        <f t="shared" si="21"/>
        <v>313.0677294014049</v>
      </c>
      <c r="AK16" s="2" t="s">
        <v>58</v>
      </c>
      <c r="AL16" s="43">
        <f t="shared" si="13"/>
        <v>9.433962264150943E-3</v>
      </c>
      <c r="AM16" s="17">
        <f t="shared" si="14"/>
        <v>180.09244639197721</v>
      </c>
      <c r="AN16" s="2" t="s">
        <v>65</v>
      </c>
      <c r="AO16" s="43">
        <f t="shared" si="15"/>
        <v>1.1111111111111112E-2</v>
      </c>
      <c r="AP16" s="15">
        <f t="shared" si="16"/>
        <v>212.1088813061065</v>
      </c>
      <c r="AR16" s="2" t="s">
        <v>58</v>
      </c>
      <c r="AS16" s="46">
        <f t="shared" si="17"/>
        <v>9.433962264150943E-3</v>
      </c>
      <c r="AT16" s="17">
        <f t="shared" si="18"/>
        <v>75.27171370085388</v>
      </c>
      <c r="AU16" s="2" t="s">
        <v>130</v>
      </c>
      <c r="AV16" s="85">
        <f t="shared" si="19"/>
        <v>1.4285714285714285E-2</v>
      </c>
      <c r="AW16" s="15">
        <f t="shared" si="20"/>
        <v>113.9828807470073</v>
      </c>
    </row>
    <row r="17" spans="2:49" x14ac:dyDescent="0.35">
      <c r="B17" s="2" t="s">
        <v>53</v>
      </c>
      <c r="C17" s="36">
        <v>0.02</v>
      </c>
      <c r="D17" s="17">
        <f t="shared" si="3"/>
        <v>261.37900118077931</v>
      </c>
      <c r="E17" s="2" t="s">
        <v>86</v>
      </c>
      <c r="F17" s="36">
        <v>0.03</v>
      </c>
      <c r="G17" s="17">
        <f t="shared" si="0"/>
        <v>588.10275265675341</v>
      </c>
      <c r="I17" s="2" t="s">
        <v>53</v>
      </c>
      <c r="J17" s="42">
        <v>0.01</v>
      </c>
      <c r="K17" s="17">
        <f t="shared" si="4"/>
        <v>91.982084876018163</v>
      </c>
      <c r="L17" s="2" t="s">
        <v>116</v>
      </c>
      <c r="M17" s="36">
        <v>0.03</v>
      </c>
      <c r="N17" s="17">
        <f t="shared" si="1"/>
        <v>275.94625462805448</v>
      </c>
      <c r="P17" s="2" t="s">
        <v>53</v>
      </c>
      <c r="Q17" s="14">
        <v>1.1320754716981131E-2</v>
      </c>
      <c r="R17" s="17">
        <f t="shared" si="5"/>
        <v>160.57965589515499</v>
      </c>
      <c r="S17" s="2" t="s">
        <v>78</v>
      </c>
      <c r="T17" s="40">
        <f t="shared" si="6"/>
        <v>1.3571428571428571E-2</v>
      </c>
      <c r="U17" s="17">
        <f t="shared" si="2"/>
        <v>192.50442081716793</v>
      </c>
      <c r="W17" s="2" t="s">
        <v>53</v>
      </c>
      <c r="X17" s="39">
        <f t="shared" si="7"/>
        <v>5.6603773584905656E-3</v>
      </c>
      <c r="Y17" s="17">
        <f t="shared" si="8"/>
        <v>122.52158296173586</v>
      </c>
      <c r="Z17" s="2" t="s">
        <v>11</v>
      </c>
      <c r="AA17" s="39">
        <f t="shared" si="9"/>
        <v>3.3333333333333333E-2</v>
      </c>
      <c r="AB17" s="17">
        <f t="shared" si="10"/>
        <v>721.51598855244458</v>
      </c>
      <c r="AD17" s="2" t="s">
        <v>53</v>
      </c>
      <c r="AE17" s="44">
        <f t="shared" si="11"/>
        <v>5.6603773584905656E-3</v>
      </c>
      <c r="AF17" s="17">
        <f t="shared" si="12"/>
        <v>59.069382905925451</v>
      </c>
      <c r="AG17" s="2" t="s">
        <v>11</v>
      </c>
      <c r="AH17" s="38">
        <v>0.01</v>
      </c>
      <c r="AI17" s="15">
        <f t="shared" si="21"/>
        <v>104.35590980046831</v>
      </c>
      <c r="AK17" s="2" t="s">
        <v>53</v>
      </c>
      <c r="AL17" s="43">
        <f t="shared" si="13"/>
        <v>9.433962264150943E-3</v>
      </c>
      <c r="AM17" s="17">
        <f t="shared" si="14"/>
        <v>180.09244639197721</v>
      </c>
      <c r="AN17" s="2" t="s">
        <v>10</v>
      </c>
      <c r="AO17" s="43">
        <f t="shared" si="15"/>
        <v>1.1111111111111112E-2</v>
      </c>
      <c r="AP17" s="15">
        <f t="shared" si="16"/>
        <v>212.1088813061065</v>
      </c>
      <c r="AR17" s="2" t="s">
        <v>53</v>
      </c>
      <c r="AS17" s="46">
        <f t="shared" si="17"/>
        <v>9.433962264150943E-3</v>
      </c>
      <c r="AT17" s="17">
        <f t="shared" si="18"/>
        <v>75.27171370085388</v>
      </c>
      <c r="AU17" s="2" t="s">
        <v>108</v>
      </c>
      <c r="AV17" s="85">
        <f t="shared" si="19"/>
        <v>1.4285714285714285E-2</v>
      </c>
      <c r="AW17" s="15">
        <f t="shared" si="20"/>
        <v>113.9828807470073</v>
      </c>
    </row>
    <row r="18" spans="2:49" x14ac:dyDescent="0.35">
      <c r="B18" s="2" t="s">
        <v>40</v>
      </c>
      <c r="C18" s="36">
        <v>0.01</v>
      </c>
      <c r="D18" s="17">
        <f t="shared" si="3"/>
        <v>130.68950059038966</v>
      </c>
      <c r="E18" s="2" t="s">
        <v>95</v>
      </c>
      <c r="F18" s="36">
        <v>0.03</v>
      </c>
      <c r="G18" s="17">
        <f t="shared" si="0"/>
        <v>588.10275265675341</v>
      </c>
      <c r="I18" s="2" t="s">
        <v>40</v>
      </c>
      <c r="J18" s="42">
        <v>0.01</v>
      </c>
      <c r="K18" s="17">
        <f t="shared" si="4"/>
        <v>91.982084876018163</v>
      </c>
      <c r="L18" s="2" t="s">
        <v>0</v>
      </c>
      <c r="M18" s="36">
        <v>0.06</v>
      </c>
      <c r="N18" s="17">
        <f t="shared" si="1"/>
        <v>551.89250925610895</v>
      </c>
      <c r="P18" s="2" t="s">
        <v>40</v>
      </c>
      <c r="Q18" s="14">
        <v>1.1320754716981131E-2</v>
      </c>
      <c r="R18" s="17">
        <f t="shared" si="5"/>
        <v>160.57965589515499</v>
      </c>
      <c r="S18" s="2" t="s">
        <v>101</v>
      </c>
      <c r="T18" s="40">
        <f t="shared" si="6"/>
        <v>1.3571428571428571E-2</v>
      </c>
      <c r="U18" s="17">
        <f t="shared" si="2"/>
        <v>192.50442081716793</v>
      </c>
      <c r="W18" s="2" t="s">
        <v>40</v>
      </c>
      <c r="X18" s="39">
        <f t="shared" si="7"/>
        <v>5.6603773584905656E-3</v>
      </c>
      <c r="Y18" s="17">
        <f t="shared" si="8"/>
        <v>122.52158296173586</v>
      </c>
      <c r="Z18" s="2" t="s">
        <v>69</v>
      </c>
      <c r="AA18" s="39">
        <f t="shared" si="9"/>
        <v>3.3333333333333333E-2</v>
      </c>
      <c r="AB18" s="17">
        <f t="shared" si="10"/>
        <v>721.51598855244458</v>
      </c>
      <c r="AD18" s="2" t="s">
        <v>40</v>
      </c>
      <c r="AE18" s="44">
        <f t="shared" si="11"/>
        <v>5.6603773584905656E-3</v>
      </c>
      <c r="AF18" s="17">
        <f t="shared" si="12"/>
        <v>59.069382905925451</v>
      </c>
      <c r="AG18" s="2" t="s">
        <v>69</v>
      </c>
      <c r="AH18" s="38">
        <v>0.02</v>
      </c>
      <c r="AI18" s="15">
        <f t="shared" si="21"/>
        <v>208.71181960093662</v>
      </c>
      <c r="AK18" s="2" t="s">
        <v>40</v>
      </c>
      <c r="AL18" s="43">
        <f t="shared" si="13"/>
        <v>9.433962264150943E-3</v>
      </c>
      <c r="AM18" s="17">
        <f t="shared" si="14"/>
        <v>180.09244639197721</v>
      </c>
      <c r="AN18" s="2" t="s">
        <v>223</v>
      </c>
      <c r="AO18" s="43">
        <f t="shared" si="15"/>
        <v>1.1111111111111112E-2</v>
      </c>
      <c r="AP18" s="15">
        <f t="shared" si="16"/>
        <v>212.1088813061065</v>
      </c>
      <c r="AR18" s="2" t="s">
        <v>40</v>
      </c>
      <c r="AS18" s="46">
        <f t="shared" si="17"/>
        <v>9.433962264150943E-3</v>
      </c>
      <c r="AT18" s="17">
        <f t="shared" si="18"/>
        <v>75.27171370085388</v>
      </c>
      <c r="AU18" s="2" t="s">
        <v>114</v>
      </c>
      <c r="AV18" s="85">
        <f t="shared" si="19"/>
        <v>1.4285714285714285E-2</v>
      </c>
      <c r="AW18" s="15">
        <f t="shared" si="20"/>
        <v>113.9828807470073</v>
      </c>
    </row>
    <row r="19" spans="2:49" x14ac:dyDescent="0.35">
      <c r="B19" s="2" t="s">
        <v>39</v>
      </c>
      <c r="C19" s="36">
        <v>0.03</v>
      </c>
      <c r="D19" s="17">
        <f t="shared" si="3"/>
        <v>392.06850177116894</v>
      </c>
      <c r="E19" s="2" t="s">
        <v>80</v>
      </c>
      <c r="F19" s="36">
        <v>0.04</v>
      </c>
      <c r="G19" s="17">
        <f t="shared" si="0"/>
        <v>784.13700354233788</v>
      </c>
      <c r="I19" s="2" t="s">
        <v>39</v>
      </c>
      <c r="J19" s="42">
        <v>0.01</v>
      </c>
      <c r="K19" s="17">
        <f t="shared" si="4"/>
        <v>91.982084876018163</v>
      </c>
      <c r="L19" s="2" t="s">
        <v>119</v>
      </c>
      <c r="M19" s="36">
        <v>0.03</v>
      </c>
      <c r="N19" s="17">
        <f t="shared" si="1"/>
        <v>275.94625462805448</v>
      </c>
      <c r="P19" s="2" t="s">
        <v>39</v>
      </c>
      <c r="Q19" s="14">
        <v>1.1320754716981131E-2</v>
      </c>
      <c r="R19" s="17">
        <f t="shared" si="5"/>
        <v>160.57965589515499</v>
      </c>
      <c r="S19" s="2" t="s">
        <v>86</v>
      </c>
      <c r="T19" s="40">
        <f t="shared" si="6"/>
        <v>1.3571428571428571E-2</v>
      </c>
      <c r="U19" s="17">
        <f t="shared" si="2"/>
        <v>192.50442081716793</v>
      </c>
      <c r="W19" s="2" t="s">
        <v>39</v>
      </c>
      <c r="X19" s="39">
        <f t="shared" si="7"/>
        <v>5.6603773584905656E-3</v>
      </c>
      <c r="Y19" s="17">
        <f t="shared" si="8"/>
        <v>122.52158296173586</v>
      </c>
      <c r="Z19" s="2" t="s">
        <v>64</v>
      </c>
      <c r="AA19" s="39">
        <f t="shared" si="9"/>
        <v>3.3333333333333333E-2</v>
      </c>
      <c r="AB19" s="17">
        <f t="shared" si="10"/>
        <v>721.51598855244458</v>
      </c>
      <c r="AD19" s="2" t="s">
        <v>39</v>
      </c>
      <c r="AE19" s="44">
        <f t="shared" si="11"/>
        <v>5.6603773584905656E-3</v>
      </c>
      <c r="AF19" s="17">
        <f t="shared" si="12"/>
        <v>59.069382905925451</v>
      </c>
      <c r="AG19" s="2" t="s">
        <v>64</v>
      </c>
      <c r="AH19" s="38">
        <v>0.03</v>
      </c>
      <c r="AI19" s="15">
        <f t="shared" si="21"/>
        <v>313.0677294014049</v>
      </c>
      <c r="AK19" s="2" t="s">
        <v>39</v>
      </c>
      <c r="AL19" s="43">
        <f t="shared" si="13"/>
        <v>9.433962264150943E-3</v>
      </c>
      <c r="AM19" s="17">
        <f t="shared" si="14"/>
        <v>180.09244639197721</v>
      </c>
      <c r="AN19" s="2" t="s">
        <v>2</v>
      </c>
      <c r="AO19" s="43">
        <f t="shared" si="15"/>
        <v>1.1111111111111112E-2</v>
      </c>
      <c r="AP19" s="15">
        <f t="shared" si="16"/>
        <v>212.1088813061065</v>
      </c>
      <c r="AR19" s="2" t="s">
        <v>39</v>
      </c>
      <c r="AS19" s="46">
        <f t="shared" si="17"/>
        <v>9.433962264150943E-3</v>
      </c>
      <c r="AT19" s="17">
        <f t="shared" si="18"/>
        <v>75.27171370085388</v>
      </c>
      <c r="AU19" s="2" t="s">
        <v>11</v>
      </c>
      <c r="AV19" s="85">
        <f t="shared" si="19"/>
        <v>1.4285714285714285E-2</v>
      </c>
      <c r="AW19" s="15">
        <f t="shared" si="20"/>
        <v>113.9828807470073</v>
      </c>
    </row>
    <row r="20" spans="2:49" x14ac:dyDescent="0.35">
      <c r="B20" s="2" t="s">
        <v>33</v>
      </c>
      <c r="C20" s="36">
        <v>0.01</v>
      </c>
      <c r="D20" s="17">
        <f t="shared" si="3"/>
        <v>130.68950059038966</v>
      </c>
      <c r="E20" s="2" t="s">
        <v>88</v>
      </c>
      <c r="F20" s="36">
        <v>0.03</v>
      </c>
      <c r="G20" s="17">
        <f t="shared" si="0"/>
        <v>588.10275265675341</v>
      </c>
      <c r="I20" s="2" t="s">
        <v>33</v>
      </c>
      <c r="J20" s="42">
        <v>0.01</v>
      </c>
      <c r="K20" s="17">
        <f t="shared" si="4"/>
        <v>91.982084876018163</v>
      </c>
      <c r="L20" s="2" t="s">
        <v>120</v>
      </c>
      <c r="M20" s="36">
        <v>0.03</v>
      </c>
      <c r="N20" s="17">
        <f t="shared" si="1"/>
        <v>275.94625462805448</v>
      </c>
      <c r="P20" s="2" t="s">
        <v>33</v>
      </c>
      <c r="Q20" s="14">
        <v>1.1320754716981131E-2</v>
      </c>
      <c r="R20" s="17">
        <f t="shared" si="5"/>
        <v>160.57965589515499</v>
      </c>
      <c r="S20" s="2" t="s">
        <v>95</v>
      </c>
      <c r="T20" s="40">
        <f t="shared" si="6"/>
        <v>1.3571428571428571E-2</v>
      </c>
      <c r="U20" s="17">
        <f t="shared" si="2"/>
        <v>192.50442081716793</v>
      </c>
      <c r="W20" s="2" t="s">
        <v>33</v>
      </c>
      <c r="X20" s="39">
        <f t="shared" si="7"/>
        <v>5.6603773584905656E-3</v>
      </c>
      <c r="Y20" s="17">
        <f t="shared" si="8"/>
        <v>122.52158296173586</v>
      </c>
      <c r="Z20" s="2" t="s">
        <v>8</v>
      </c>
      <c r="AA20" s="39">
        <f t="shared" si="9"/>
        <v>3.3333333333333333E-2</v>
      </c>
      <c r="AB20" s="17">
        <f t="shared" si="10"/>
        <v>721.51598855244458</v>
      </c>
      <c r="AD20" s="2" t="s">
        <v>33</v>
      </c>
      <c r="AE20" s="44">
        <f t="shared" si="11"/>
        <v>5.6603773584905656E-3</v>
      </c>
      <c r="AF20" s="17">
        <f t="shared" si="12"/>
        <v>59.069382905925451</v>
      </c>
      <c r="AG20" s="2" t="s">
        <v>8</v>
      </c>
      <c r="AH20" s="38">
        <v>0.01</v>
      </c>
      <c r="AI20" s="15">
        <f t="shared" si="21"/>
        <v>104.35590980046831</v>
      </c>
      <c r="AK20" s="2" t="s">
        <v>33</v>
      </c>
      <c r="AL20" s="43">
        <f t="shared" si="13"/>
        <v>9.433962264150943E-3</v>
      </c>
      <c r="AM20" s="17">
        <f t="shared" si="14"/>
        <v>180.09244639197721</v>
      </c>
      <c r="AN20" s="2" t="s">
        <v>9</v>
      </c>
      <c r="AO20" s="43">
        <f t="shared" si="15"/>
        <v>1.1111111111111112E-2</v>
      </c>
      <c r="AP20" s="15">
        <f t="shared" si="16"/>
        <v>212.1088813061065</v>
      </c>
      <c r="AR20" s="2" t="s">
        <v>33</v>
      </c>
      <c r="AS20" s="46">
        <f t="shared" si="17"/>
        <v>9.433962264150943E-3</v>
      </c>
      <c r="AT20" s="17">
        <f t="shared" si="18"/>
        <v>75.27171370085388</v>
      </c>
      <c r="AU20" s="2" t="s">
        <v>64</v>
      </c>
      <c r="AV20" s="85">
        <f t="shared" si="19"/>
        <v>1.4285714285714285E-2</v>
      </c>
      <c r="AW20" s="15">
        <f t="shared" si="20"/>
        <v>113.9828807470073</v>
      </c>
    </row>
    <row r="21" spans="2:49" x14ac:dyDescent="0.35">
      <c r="B21" s="2" t="s">
        <v>15</v>
      </c>
      <c r="C21" s="36">
        <v>0.03</v>
      </c>
      <c r="D21" s="17">
        <f t="shared" si="3"/>
        <v>392.06850177116894</v>
      </c>
      <c r="E21" s="2" t="s">
        <v>97</v>
      </c>
      <c r="F21" s="36">
        <v>0.02</v>
      </c>
      <c r="G21" s="17">
        <f t="shared" si="0"/>
        <v>392.06850177116894</v>
      </c>
      <c r="I21" s="2" t="s">
        <v>15</v>
      </c>
      <c r="J21" s="42">
        <v>0.01</v>
      </c>
      <c r="K21" s="17">
        <f t="shared" si="4"/>
        <v>91.982084876018163</v>
      </c>
      <c r="L21" s="2" t="s">
        <v>107</v>
      </c>
      <c r="M21" s="36">
        <v>0.04</v>
      </c>
      <c r="N21" s="17">
        <f t="shared" si="1"/>
        <v>367.92833950407265</v>
      </c>
      <c r="P21" s="2" t="s">
        <v>15</v>
      </c>
      <c r="Q21" s="14">
        <v>1.1320754716981131E-2</v>
      </c>
      <c r="R21" s="17">
        <f t="shared" si="5"/>
        <v>160.57965589515499</v>
      </c>
      <c r="S21" s="2" t="s">
        <v>80</v>
      </c>
      <c r="T21" s="40">
        <f t="shared" si="6"/>
        <v>1.3571428571428571E-2</v>
      </c>
      <c r="U21" s="17">
        <f t="shared" si="2"/>
        <v>192.50442081716793</v>
      </c>
      <c r="W21" s="2" t="s">
        <v>15</v>
      </c>
      <c r="X21" s="39">
        <f t="shared" si="7"/>
        <v>5.6603773584905656E-3</v>
      </c>
      <c r="Y21" s="17">
        <f t="shared" si="8"/>
        <v>122.52158296173586</v>
      </c>
      <c r="Z21" s="2" t="s">
        <v>7</v>
      </c>
      <c r="AA21" s="39">
        <f t="shared" si="9"/>
        <v>3.3333333333333333E-2</v>
      </c>
      <c r="AB21" s="17">
        <f t="shared" si="10"/>
        <v>721.51598855244458</v>
      </c>
      <c r="AD21" s="2" t="s">
        <v>15</v>
      </c>
      <c r="AE21" s="44">
        <f t="shared" si="11"/>
        <v>5.6603773584905656E-3</v>
      </c>
      <c r="AF21" s="17">
        <f t="shared" si="12"/>
        <v>59.069382905925451</v>
      </c>
      <c r="AG21" s="2" t="s">
        <v>7</v>
      </c>
      <c r="AH21" s="38">
        <v>0.02</v>
      </c>
      <c r="AI21" s="15">
        <f t="shared" si="21"/>
        <v>208.71181960093662</v>
      </c>
      <c r="AK21" s="2" t="s">
        <v>15</v>
      </c>
      <c r="AL21" s="43">
        <f t="shared" si="13"/>
        <v>9.433962264150943E-3</v>
      </c>
      <c r="AM21" s="17">
        <f t="shared" si="14"/>
        <v>180.09244639197721</v>
      </c>
      <c r="AN21" s="2" t="s">
        <v>130</v>
      </c>
      <c r="AO21" s="43">
        <f t="shared" si="15"/>
        <v>1.1111111111111112E-2</v>
      </c>
      <c r="AP21" s="15">
        <f t="shared" si="16"/>
        <v>212.1088813061065</v>
      </c>
      <c r="AR21" s="2" t="s">
        <v>15</v>
      </c>
      <c r="AS21" s="46">
        <f t="shared" si="17"/>
        <v>9.433962264150943E-3</v>
      </c>
      <c r="AT21" s="17">
        <f t="shared" si="18"/>
        <v>75.27171370085388</v>
      </c>
      <c r="AU21" s="2" t="s">
        <v>8</v>
      </c>
      <c r="AV21" s="85">
        <f t="shared" si="19"/>
        <v>1.4285714285714285E-2</v>
      </c>
      <c r="AW21" s="15">
        <f t="shared" si="20"/>
        <v>113.9828807470073</v>
      </c>
    </row>
    <row r="22" spans="2:49" x14ac:dyDescent="0.35">
      <c r="B22" s="2" t="s">
        <v>50</v>
      </c>
      <c r="C22" s="36">
        <v>0.02</v>
      </c>
      <c r="D22" s="17">
        <f t="shared" si="3"/>
        <v>261.37900118077931</v>
      </c>
      <c r="E22" s="2" t="s">
        <v>84</v>
      </c>
      <c r="F22" s="36">
        <v>0.03</v>
      </c>
      <c r="G22" s="17">
        <f t="shared" si="0"/>
        <v>588.10275265675341</v>
      </c>
      <c r="I22" s="2" t="s">
        <v>50</v>
      </c>
      <c r="J22" s="42">
        <v>0.01</v>
      </c>
      <c r="K22" s="17">
        <f t="shared" si="4"/>
        <v>91.982084876018163</v>
      </c>
      <c r="L22" s="2" t="s">
        <v>115</v>
      </c>
      <c r="M22" s="36">
        <v>0.03</v>
      </c>
      <c r="N22" s="17">
        <f t="shared" si="1"/>
        <v>275.94625462805448</v>
      </c>
      <c r="P22" s="2" t="s">
        <v>50</v>
      </c>
      <c r="Q22" s="14">
        <v>1.0999999999999999E-2</v>
      </c>
      <c r="R22" s="17">
        <f t="shared" si="5"/>
        <v>156.02989897812557</v>
      </c>
      <c r="S22" s="2" t="s">
        <v>88</v>
      </c>
      <c r="T22" s="40">
        <f t="shared" si="6"/>
        <v>1.3571428571428571E-2</v>
      </c>
      <c r="U22" s="17">
        <f t="shared" si="2"/>
        <v>192.50442081716793</v>
      </c>
      <c r="W22" s="2" t="s">
        <v>50</v>
      </c>
      <c r="X22" s="39">
        <f t="shared" si="7"/>
        <v>5.6603773584905656E-3</v>
      </c>
      <c r="Y22" s="17">
        <f t="shared" si="8"/>
        <v>122.52158296173586</v>
      </c>
      <c r="Z22" s="2" t="s">
        <v>225</v>
      </c>
      <c r="AA22" s="39">
        <f t="shared" si="9"/>
        <v>3.3333333333333333E-2</v>
      </c>
      <c r="AB22" s="17">
        <f t="shared" si="10"/>
        <v>721.51598855244458</v>
      </c>
      <c r="AD22" s="2" t="s">
        <v>50</v>
      </c>
      <c r="AE22" s="44">
        <f t="shared" si="11"/>
        <v>5.6603773584905656E-3</v>
      </c>
      <c r="AF22" s="17">
        <f t="shared" si="12"/>
        <v>59.069382905925451</v>
      </c>
      <c r="AG22" s="2" t="s">
        <v>225</v>
      </c>
      <c r="AH22" s="38">
        <v>0.03</v>
      </c>
      <c r="AI22" s="15">
        <f t="shared" si="21"/>
        <v>313.0677294014049</v>
      </c>
      <c r="AK22" s="2" t="s">
        <v>50</v>
      </c>
      <c r="AL22" s="43">
        <f t="shared" si="13"/>
        <v>9.433962264150943E-3</v>
      </c>
      <c r="AM22" s="17">
        <f t="shared" si="14"/>
        <v>180.09244639197721</v>
      </c>
      <c r="AN22" s="2" t="s">
        <v>108</v>
      </c>
      <c r="AO22" s="43">
        <f t="shared" si="15"/>
        <v>1.1111111111111112E-2</v>
      </c>
      <c r="AP22" s="15">
        <f t="shared" si="16"/>
        <v>212.1088813061065</v>
      </c>
      <c r="AR22" s="2" t="s">
        <v>50</v>
      </c>
      <c r="AS22" s="46">
        <f t="shared" si="17"/>
        <v>9.433962264150943E-3</v>
      </c>
      <c r="AT22" s="17">
        <f t="shared" si="18"/>
        <v>75.27171370085388</v>
      </c>
      <c r="AU22" s="2" t="s">
        <v>128</v>
      </c>
      <c r="AV22" s="85">
        <f t="shared" si="19"/>
        <v>1.4285714285714285E-2</v>
      </c>
      <c r="AW22" s="15">
        <f t="shared" si="20"/>
        <v>113.9828807470073</v>
      </c>
    </row>
    <row r="23" spans="2:49" x14ac:dyDescent="0.35">
      <c r="B23" s="2" t="s">
        <v>22</v>
      </c>
      <c r="C23" s="36">
        <v>0.01</v>
      </c>
      <c r="D23" s="17">
        <f t="shared" si="3"/>
        <v>130.68950059038966</v>
      </c>
      <c r="E23" s="2" t="s">
        <v>82</v>
      </c>
      <c r="F23" s="36">
        <v>0.03</v>
      </c>
      <c r="G23" s="17">
        <f t="shared" si="0"/>
        <v>588.10275265675341</v>
      </c>
      <c r="I23" s="2" t="s">
        <v>22</v>
      </c>
      <c r="J23" s="42">
        <v>0.01</v>
      </c>
      <c r="K23" s="17">
        <f t="shared" si="4"/>
        <v>91.982084876018163</v>
      </c>
      <c r="L23" s="2" t="s">
        <v>117</v>
      </c>
      <c r="M23" s="36">
        <v>0.03</v>
      </c>
      <c r="N23" s="17">
        <f t="shared" si="1"/>
        <v>275.94625462805448</v>
      </c>
      <c r="P23" s="2" t="s">
        <v>22</v>
      </c>
      <c r="Q23" s="14">
        <v>0.01</v>
      </c>
      <c r="R23" s="17">
        <f t="shared" si="5"/>
        <v>141.8453627073869</v>
      </c>
      <c r="S23" s="2" t="s">
        <v>97</v>
      </c>
      <c r="T23" s="40">
        <f t="shared" si="6"/>
        <v>1.3571428571428571E-2</v>
      </c>
      <c r="U23" s="17">
        <f t="shared" si="2"/>
        <v>192.50442081716793</v>
      </c>
      <c r="W23" s="2" t="s">
        <v>22</v>
      </c>
      <c r="X23" s="39">
        <f t="shared" si="7"/>
        <v>5.6603773584905656E-3</v>
      </c>
      <c r="Y23" s="17">
        <f t="shared" si="8"/>
        <v>122.52158296173586</v>
      </c>
      <c r="Z23" s="2" t="s">
        <v>73</v>
      </c>
      <c r="AA23" s="39">
        <f t="shared" si="9"/>
        <v>3.3333333333333333E-2</v>
      </c>
      <c r="AB23" s="17">
        <f t="shared" si="10"/>
        <v>721.51598855244458</v>
      </c>
      <c r="AD23" s="2" t="s">
        <v>22</v>
      </c>
      <c r="AE23" s="44">
        <f t="shared" si="11"/>
        <v>5.6603773584905656E-3</v>
      </c>
      <c r="AF23" s="17">
        <f t="shared" si="12"/>
        <v>59.069382905925451</v>
      </c>
      <c r="AG23" s="2" t="s">
        <v>73</v>
      </c>
      <c r="AH23" s="38">
        <v>0.03</v>
      </c>
      <c r="AI23" s="15">
        <f t="shared" si="21"/>
        <v>313.0677294014049</v>
      </c>
      <c r="AK23" s="2" t="s">
        <v>22</v>
      </c>
      <c r="AL23" s="43">
        <f t="shared" si="13"/>
        <v>9.433962264150943E-3</v>
      </c>
      <c r="AM23" s="17">
        <f t="shared" si="14"/>
        <v>180.09244639197721</v>
      </c>
      <c r="AN23" s="2" t="s">
        <v>114</v>
      </c>
      <c r="AO23" s="43">
        <f t="shared" si="15"/>
        <v>1.1111111111111112E-2</v>
      </c>
      <c r="AP23" s="15">
        <f t="shared" si="16"/>
        <v>212.1088813061065</v>
      </c>
      <c r="AR23" s="2" t="s">
        <v>22</v>
      </c>
      <c r="AS23" s="46">
        <f t="shared" si="17"/>
        <v>9.433962264150943E-3</v>
      </c>
      <c r="AT23" s="17">
        <f t="shared" si="18"/>
        <v>75.27171370085388</v>
      </c>
      <c r="AU23" s="2" t="s">
        <v>111</v>
      </c>
      <c r="AV23" s="85">
        <f t="shared" si="19"/>
        <v>1.4285714285714285E-2</v>
      </c>
      <c r="AW23" s="15">
        <f t="shared" si="20"/>
        <v>113.9828807470073</v>
      </c>
    </row>
    <row r="24" spans="2:49" x14ac:dyDescent="0.35">
      <c r="B24" s="2" t="s">
        <v>72</v>
      </c>
      <c r="C24" s="36">
        <v>0.02</v>
      </c>
      <c r="D24" s="17">
        <f t="shared" si="3"/>
        <v>261.37900118077931</v>
      </c>
      <c r="E24" s="2" t="s">
        <v>77</v>
      </c>
      <c r="F24" s="36">
        <v>0.02</v>
      </c>
      <c r="G24" s="17">
        <f t="shared" si="0"/>
        <v>392.06850177116894</v>
      </c>
      <c r="I24" s="2" t="s">
        <v>72</v>
      </c>
      <c r="J24" s="42">
        <v>0.01</v>
      </c>
      <c r="K24" s="17">
        <f t="shared" si="4"/>
        <v>91.982084876018163</v>
      </c>
      <c r="N24" s="10">
        <f>SUM(N4:N23)</f>
        <v>9198.208487601818</v>
      </c>
      <c r="P24" s="2" t="s">
        <v>72</v>
      </c>
      <c r="Q24" s="14">
        <v>1.1320754716981131E-2</v>
      </c>
      <c r="R24" s="17">
        <f t="shared" si="5"/>
        <v>160.57965589515499</v>
      </c>
      <c r="S24" s="2" t="s">
        <v>84</v>
      </c>
      <c r="T24" s="40">
        <f t="shared" si="6"/>
        <v>1.3571428571428571E-2</v>
      </c>
      <c r="U24" s="17">
        <f t="shared" si="2"/>
        <v>192.50442081716793</v>
      </c>
      <c r="W24" s="2" t="s">
        <v>72</v>
      </c>
      <c r="X24" s="39">
        <f t="shared" si="7"/>
        <v>5.6603773584905656E-3</v>
      </c>
      <c r="Y24" s="17">
        <f t="shared" si="8"/>
        <v>122.52158296173586</v>
      </c>
      <c r="Z24" s="2" t="s">
        <v>4</v>
      </c>
      <c r="AA24" s="39">
        <f t="shared" si="9"/>
        <v>3.3333333333333333E-2</v>
      </c>
      <c r="AB24" s="17">
        <f t="shared" si="10"/>
        <v>721.51598855244458</v>
      </c>
      <c r="AD24" s="2" t="s">
        <v>72</v>
      </c>
      <c r="AE24" s="44">
        <f t="shared" si="11"/>
        <v>5.6603773584905656E-3</v>
      </c>
      <c r="AF24" s="17">
        <f t="shared" si="12"/>
        <v>59.069382905925451</v>
      </c>
      <c r="AG24" s="2" t="s">
        <v>4</v>
      </c>
      <c r="AH24" s="38">
        <v>0.02</v>
      </c>
      <c r="AI24" s="15">
        <f t="shared" si="21"/>
        <v>208.71181960093662</v>
      </c>
      <c r="AK24" s="2" t="s">
        <v>72</v>
      </c>
      <c r="AL24" s="43">
        <f t="shared" si="13"/>
        <v>9.433962264150943E-3</v>
      </c>
      <c r="AM24" s="17">
        <f t="shared" si="14"/>
        <v>180.09244639197721</v>
      </c>
      <c r="AN24" s="2" t="s">
        <v>68</v>
      </c>
      <c r="AO24" s="43">
        <f t="shared" si="15"/>
        <v>1.1111111111111112E-2</v>
      </c>
      <c r="AP24" s="15">
        <f t="shared" si="16"/>
        <v>212.1088813061065</v>
      </c>
      <c r="AR24" s="2" t="s">
        <v>72</v>
      </c>
      <c r="AS24" s="46">
        <f t="shared" si="17"/>
        <v>9.433962264150943E-3</v>
      </c>
      <c r="AT24" s="17">
        <f t="shared" si="18"/>
        <v>75.27171370085388</v>
      </c>
      <c r="AU24" s="2" t="s">
        <v>7</v>
      </c>
      <c r="AV24" s="85">
        <f t="shared" si="19"/>
        <v>1.4285714285714285E-2</v>
      </c>
      <c r="AW24" s="15">
        <f t="shared" si="20"/>
        <v>113.9828807470073</v>
      </c>
    </row>
    <row r="25" spans="2:49" x14ac:dyDescent="0.35">
      <c r="B25" s="2" t="s">
        <v>60</v>
      </c>
      <c r="C25" s="36">
        <v>0.01</v>
      </c>
      <c r="D25" s="17">
        <f t="shared" si="3"/>
        <v>130.68950059038966</v>
      </c>
      <c r="E25" s="2" t="s">
        <v>75</v>
      </c>
      <c r="F25" s="36">
        <v>0.03</v>
      </c>
      <c r="G25" s="17">
        <f t="shared" si="0"/>
        <v>588.10275265675341</v>
      </c>
      <c r="I25" s="2" t="s">
        <v>60</v>
      </c>
      <c r="J25" s="42">
        <v>0.01</v>
      </c>
      <c r="K25" s="17">
        <f t="shared" si="4"/>
        <v>91.982084876018163</v>
      </c>
      <c r="N25" s="10"/>
      <c r="P25" s="2" t="s">
        <v>60</v>
      </c>
      <c r="Q25" s="14">
        <v>0.01</v>
      </c>
      <c r="R25" s="17">
        <f t="shared" si="5"/>
        <v>141.8453627073869</v>
      </c>
      <c r="S25" s="2" t="s">
        <v>82</v>
      </c>
      <c r="T25" s="40">
        <f t="shared" si="6"/>
        <v>1.3571428571428571E-2</v>
      </c>
      <c r="U25" s="17">
        <f t="shared" si="2"/>
        <v>192.50442081716793</v>
      </c>
      <c r="W25" s="2" t="s">
        <v>60</v>
      </c>
      <c r="X25" s="39">
        <f t="shared" si="7"/>
        <v>5.6603773584905656E-3</v>
      </c>
      <c r="Y25" s="17">
        <f t="shared" si="8"/>
        <v>122.52158296173586</v>
      </c>
      <c r="AD25" s="2" t="s">
        <v>60</v>
      </c>
      <c r="AE25" s="44">
        <f t="shared" si="11"/>
        <v>5.6603773584905656E-3</v>
      </c>
      <c r="AF25" s="17">
        <f t="shared" si="12"/>
        <v>59.069382905925451</v>
      </c>
      <c r="AI25" s="10"/>
      <c r="AK25" s="2" t="s">
        <v>60</v>
      </c>
      <c r="AL25" s="43">
        <f t="shared" si="13"/>
        <v>9.433962264150943E-3</v>
      </c>
      <c r="AM25" s="17">
        <f t="shared" si="14"/>
        <v>180.09244639197721</v>
      </c>
      <c r="AN25" s="2" t="s">
        <v>11</v>
      </c>
      <c r="AO25" s="43">
        <f t="shared" si="15"/>
        <v>1.1111111111111112E-2</v>
      </c>
      <c r="AP25" s="15">
        <f t="shared" si="16"/>
        <v>212.1088813061065</v>
      </c>
      <c r="AR25" s="2" t="s">
        <v>60</v>
      </c>
      <c r="AS25" s="46">
        <f t="shared" si="17"/>
        <v>9.433962264150943E-3</v>
      </c>
      <c r="AT25" s="17">
        <f t="shared" si="18"/>
        <v>75.27171370085388</v>
      </c>
      <c r="AU25" s="2" t="s">
        <v>110</v>
      </c>
      <c r="AV25" s="85">
        <f t="shared" si="19"/>
        <v>1.4285714285714285E-2</v>
      </c>
      <c r="AW25" s="15">
        <f t="shared" si="20"/>
        <v>113.9828807470073</v>
      </c>
    </row>
    <row r="26" spans="2:49" x14ac:dyDescent="0.35">
      <c r="B26" s="2" t="s">
        <v>61</v>
      </c>
      <c r="C26" s="36">
        <v>0.02</v>
      </c>
      <c r="D26" s="17">
        <f t="shared" si="3"/>
        <v>261.37900118077931</v>
      </c>
      <c r="E26" s="2" t="s">
        <v>76</v>
      </c>
      <c r="F26" s="36">
        <v>0.03</v>
      </c>
      <c r="G26" s="17">
        <f t="shared" si="0"/>
        <v>588.10275265675341</v>
      </c>
      <c r="I26" s="2" t="s">
        <v>61</v>
      </c>
      <c r="J26" s="42">
        <v>0.02</v>
      </c>
      <c r="K26" s="17">
        <f t="shared" si="4"/>
        <v>183.96416975203633</v>
      </c>
      <c r="N26" s="10"/>
      <c r="P26" s="2" t="s">
        <v>61</v>
      </c>
      <c r="Q26" s="14">
        <v>1.1320754716981131E-2</v>
      </c>
      <c r="R26" s="17">
        <f t="shared" si="5"/>
        <v>160.57965589515499</v>
      </c>
      <c r="S26" s="2" t="s">
        <v>77</v>
      </c>
      <c r="T26" s="40">
        <f t="shared" si="6"/>
        <v>1.3571428571428571E-2</v>
      </c>
      <c r="U26" s="17">
        <f t="shared" si="2"/>
        <v>192.50442081716793</v>
      </c>
      <c r="W26" s="2" t="s">
        <v>61</v>
      </c>
      <c r="X26" s="39">
        <f t="shared" si="7"/>
        <v>5.6603773584905656E-3</v>
      </c>
      <c r="Y26" s="17">
        <f t="shared" si="8"/>
        <v>122.52158296173586</v>
      </c>
      <c r="AD26" s="2" t="s">
        <v>61</v>
      </c>
      <c r="AE26" s="44">
        <f t="shared" si="11"/>
        <v>5.6603773584905656E-3</v>
      </c>
      <c r="AF26" s="17">
        <f t="shared" si="12"/>
        <v>59.069382905925451</v>
      </c>
      <c r="AK26" s="2" t="s">
        <v>61</v>
      </c>
      <c r="AL26" s="43">
        <f t="shared" si="13"/>
        <v>9.433962264150943E-3</v>
      </c>
      <c r="AM26" s="17">
        <f t="shared" si="14"/>
        <v>180.09244639197721</v>
      </c>
      <c r="AN26" s="2" t="s">
        <v>69</v>
      </c>
      <c r="AO26" s="43">
        <f t="shared" si="15"/>
        <v>1.1111111111111112E-2</v>
      </c>
      <c r="AP26" s="15">
        <f t="shared" si="16"/>
        <v>212.1088813061065</v>
      </c>
      <c r="AR26" s="2" t="s">
        <v>61</v>
      </c>
      <c r="AS26" s="46">
        <f t="shared" si="17"/>
        <v>9.433962264150943E-3</v>
      </c>
      <c r="AT26" s="17">
        <f t="shared" si="18"/>
        <v>75.27171370085388</v>
      </c>
      <c r="AU26" s="2" t="s">
        <v>105</v>
      </c>
      <c r="AV26" s="85">
        <f t="shared" si="19"/>
        <v>1.4285714285714285E-2</v>
      </c>
      <c r="AW26" s="15">
        <f t="shared" si="20"/>
        <v>113.9828807470073</v>
      </c>
    </row>
    <row r="27" spans="2:49" x14ac:dyDescent="0.35">
      <c r="B27" s="2" t="s">
        <v>25</v>
      </c>
      <c r="C27" s="36">
        <v>0.01</v>
      </c>
      <c r="D27" s="17">
        <f t="shared" si="3"/>
        <v>130.68950059038966</v>
      </c>
      <c r="E27" s="2" t="s">
        <v>93</v>
      </c>
      <c r="F27" s="36">
        <v>0.03</v>
      </c>
      <c r="G27" s="17">
        <f t="shared" si="0"/>
        <v>588.10275265675341</v>
      </c>
      <c r="I27" s="2" t="s">
        <v>25</v>
      </c>
      <c r="J27" s="42">
        <v>0.01</v>
      </c>
      <c r="K27" s="17">
        <f t="shared" si="4"/>
        <v>91.982084876018163</v>
      </c>
      <c r="N27" s="10"/>
      <c r="P27" s="2" t="s">
        <v>25</v>
      </c>
      <c r="Q27" s="14">
        <v>1.1320754716981131E-2</v>
      </c>
      <c r="R27" s="17">
        <f t="shared" si="5"/>
        <v>160.57965589515499</v>
      </c>
      <c r="S27" s="2" t="s">
        <v>75</v>
      </c>
      <c r="T27" s="40">
        <f t="shared" si="6"/>
        <v>1.3571428571428571E-2</v>
      </c>
      <c r="U27" s="17">
        <f t="shared" si="2"/>
        <v>192.50442081716793</v>
      </c>
      <c r="W27" s="2" t="s">
        <v>25</v>
      </c>
      <c r="X27" s="39">
        <f t="shared" si="7"/>
        <v>5.6603773584905656E-3</v>
      </c>
      <c r="Y27" s="17">
        <f t="shared" si="8"/>
        <v>122.52158296173586</v>
      </c>
      <c r="AD27" s="2" t="s">
        <v>25</v>
      </c>
      <c r="AE27" s="44">
        <f t="shared" si="11"/>
        <v>5.6603773584905656E-3</v>
      </c>
      <c r="AF27" s="17">
        <f t="shared" si="12"/>
        <v>59.069382905925451</v>
      </c>
      <c r="AK27" s="2" t="s">
        <v>25</v>
      </c>
      <c r="AL27" s="43">
        <f t="shared" si="13"/>
        <v>9.433962264150943E-3</v>
      </c>
      <c r="AM27" s="17">
        <f t="shared" si="14"/>
        <v>180.09244639197721</v>
      </c>
      <c r="AN27" s="2" t="s">
        <v>64</v>
      </c>
      <c r="AO27" s="43">
        <f t="shared" si="15"/>
        <v>1.1111111111111112E-2</v>
      </c>
      <c r="AP27" s="15">
        <f t="shared" si="16"/>
        <v>212.1088813061065</v>
      </c>
      <c r="AR27" s="2" t="s">
        <v>25</v>
      </c>
      <c r="AS27" s="46">
        <f t="shared" si="17"/>
        <v>9.433962264150943E-3</v>
      </c>
      <c r="AT27" s="17">
        <f t="shared" si="18"/>
        <v>75.27171370085388</v>
      </c>
      <c r="AU27" s="2" t="s">
        <v>109</v>
      </c>
      <c r="AV27" s="85">
        <f t="shared" si="19"/>
        <v>1.4285714285714285E-2</v>
      </c>
      <c r="AW27" s="15">
        <f t="shared" si="20"/>
        <v>113.9828807470073</v>
      </c>
    </row>
    <row r="28" spans="2:49" x14ac:dyDescent="0.35">
      <c r="B28" s="2" t="s">
        <v>17</v>
      </c>
      <c r="C28" s="36">
        <v>0.01</v>
      </c>
      <c r="D28" s="17">
        <f t="shared" si="3"/>
        <v>130.68950059038966</v>
      </c>
      <c r="E28" s="2" t="s">
        <v>99</v>
      </c>
      <c r="F28" s="36">
        <v>7.0000000000000007E-2</v>
      </c>
      <c r="G28" s="17">
        <f t="shared" si="0"/>
        <v>1372.2397561990915</v>
      </c>
      <c r="I28" s="2" t="s">
        <v>17</v>
      </c>
      <c r="J28" s="42">
        <v>0.01</v>
      </c>
      <c r="K28" s="17">
        <f t="shared" si="4"/>
        <v>91.982084876018163</v>
      </c>
      <c r="N28" s="10"/>
      <c r="P28" s="2" t="s">
        <v>17</v>
      </c>
      <c r="Q28" s="14">
        <v>1.1320754716981131E-2</v>
      </c>
      <c r="R28" s="17">
        <f t="shared" si="5"/>
        <v>160.57965589515499</v>
      </c>
      <c r="S28" s="2" t="s">
        <v>76</v>
      </c>
      <c r="T28" s="40">
        <f t="shared" si="6"/>
        <v>1.3571428571428571E-2</v>
      </c>
      <c r="U28" s="17">
        <f t="shared" si="2"/>
        <v>192.50442081716793</v>
      </c>
      <c r="W28" s="2" t="s">
        <v>17</v>
      </c>
      <c r="X28" s="39">
        <f t="shared" si="7"/>
        <v>5.6603773584905656E-3</v>
      </c>
      <c r="Y28" s="17">
        <f t="shared" si="8"/>
        <v>122.52158296173586</v>
      </c>
      <c r="AD28" s="2" t="s">
        <v>17</v>
      </c>
      <c r="AE28" s="44">
        <f t="shared" si="11"/>
        <v>5.6603773584905656E-3</v>
      </c>
      <c r="AF28" s="17">
        <f t="shared" si="12"/>
        <v>59.069382905925451</v>
      </c>
      <c r="AK28" s="2" t="s">
        <v>17</v>
      </c>
      <c r="AL28" s="43">
        <f t="shared" si="13"/>
        <v>9.433962264150943E-3</v>
      </c>
      <c r="AM28" s="17">
        <f t="shared" si="14"/>
        <v>180.09244639197721</v>
      </c>
      <c r="AN28" s="2" t="s">
        <v>8</v>
      </c>
      <c r="AO28" s="43">
        <f t="shared" si="15"/>
        <v>1.1111111111111112E-2</v>
      </c>
      <c r="AP28" s="15">
        <f t="shared" si="16"/>
        <v>212.1088813061065</v>
      </c>
      <c r="AR28" s="2" t="s">
        <v>17</v>
      </c>
      <c r="AS28" s="46">
        <f t="shared" si="17"/>
        <v>9.433962264150943E-3</v>
      </c>
      <c r="AT28" s="17">
        <f t="shared" si="18"/>
        <v>75.27171370085388</v>
      </c>
      <c r="AU28" s="2" t="s">
        <v>116</v>
      </c>
      <c r="AV28" s="85">
        <f t="shared" si="19"/>
        <v>1.4285714285714285E-2</v>
      </c>
      <c r="AW28" s="15">
        <f t="shared" si="20"/>
        <v>113.9828807470073</v>
      </c>
    </row>
    <row r="29" spans="2:49" x14ac:dyDescent="0.35">
      <c r="B29" s="2" t="s">
        <v>62</v>
      </c>
      <c r="C29" s="36">
        <v>0.01</v>
      </c>
      <c r="D29" s="17">
        <f t="shared" si="3"/>
        <v>130.68950059038966</v>
      </c>
      <c r="E29" s="2" t="s">
        <v>81</v>
      </c>
      <c r="F29" s="36">
        <v>7.0000000000000007E-2</v>
      </c>
      <c r="G29" s="17">
        <f t="shared" si="0"/>
        <v>1372.2397561990915</v>
      </c>
      <c r="I29" s="2" t="s">
        <v>62</v>
      </c>
      <c r="J29" s="42">
        <v>0.01</v>
      </c>
      <c r="K29" s="17">
        <f t="shared" si="4"/>
        <v>91.982084876018163</v>
      </c>
      <c r="N29" s="10"/>
      <c r="P29" s="2" t="s">
        <v>62</v>
      </c>
      <c r="Q29" s="14">
        <v>1.1320754716981131E-2</v>
      </c>
      <c r="R29" s="17">
        <f t="shared" si="5"/>
        <v>160.57965589515499</v>
      </c>
      <c r="S29" s="2" t="s">
        <v>93</v>
      </c>
      <c r="T29" s="40">
        <f t="shared" si="6"/>
        <v>1.3571428571428571E-2</v>
      </c>
      <c r="U29" s="17">
        <f t="shared" si="2"/>
        <v>192.50442081716793</v>
      </c>
      <c r="W29" s="2" t="s">
        <v>62</v>
      </c>
      <c r="X29" s="39">
        <f t="shared" si="7"/>
        <v>5.6603773584905656E-3</v>
      </c>
      <c r="Y29" s="17">
        <f t="shared" si="8"/>
        <v>122.52158296173586</v>
      </c>
      <c r="AD29" s="2" t="s">
        <v>62</v>
      </c>
      <c r="AE29" s="44">
        <f t="shared" si="11"/>
        <v>5.6603773584905656E-3</v>
      </c>
      <c r="AF29" s="17">
        <f t="shared" si="12"/>
        <v>59.069382905925451</v>
      </c>
      <c r="AK29" s="2" t="s">
        <v>62</v>
      </c>
      <c r="AL29" s="43">
        <f t="shared" si="13"/>
        <v>9.433962264150943E-3</v>
      </c>
      <c r="AM29" s="17">
        <f t="shared" si="14"/>
        <v>180.09244639197721</v>
      </c>
      <c r="AN29" s="2" t="s">
        <v>128</v>
      </c>
      <c r="AO29" s="43">
        <f t="shared" si="15"/>
        <v>1.1111111111111112E-2</v>
      </c>
      <c r="AP29" s="15">
        <f t="shared" si="16"/>
        <v>212.1088813061065</v>
      </c>
      <c r="AR29" s="2" t="s">
        <v>62</v>
      </c>
      <c r="AS29" s="46">
        <f t="shared" si="17"/>
        <v>9.433962264150943E-3</v>
      </c>
      <c r="AT29" s="17">
        <f t="shared" si="18"/>
        <v>75.27171370085388</v>
      </c>
      <c r="AU29" s="2" t="s">
        <v>78</v>
      </c>
      <c r="AV29" s="85">
        <f t="shared" si="19"/>
        <v>1.4285714285714285E-2</v>
      </c>
      <c r="AW29" s="15">
        <f t="shared" si="20"/>
        <v>113.9828807470073</v>
      </c>
    </row>
    <row r="30" spans="2:49" x14ac:dyDescent="0.35">
      <c r="B30" s="2" t="s">
        <v>43</v>
      </c>
      <c r="C30" s="36">
        <v>0.01</v>
      </c>
      <c r="D30" s="17">
        <f t="shared" si="3"/>
        <v>130.68950059038966</v>
      </c>
      <c r="G30" s="10"/>
      <c r="I30" s="2" t="s">
        <v>43</v>
      </c>
      <c r="J30" s="42">
        <v>0.01</v>
      </c>
      <c r="K30" s="17">
        <f t="shared" si="4"/>
        <v>91.982084876018163</v>
      </c>
      <c r="N30" s="10"/>
      <c r="P30" s="2" t="s">
        <v>43</v>
      </c>
      <c r="Q30" s="14">
        <v>1.1320754716981131E-2</v>
      </c>
      <c r="R30" s="17">
        <f t="shared" si="5"/>
        <v>160.57965589515499</v>
      </c>
      <c r="S30" s="2" t="s">
        <v>99</v>
      </c>
      <c r="T30" s="40">
        <f t="shared" si="6"/>
        <v>1.3571428571428571E-2</v>
      </c>
      <c r="U30" s="17">
        <f t="shared" si="2"/>
        <v>192.50442081716793</v>
      </c>
      <c r="W30" s="2" t="s">
        <v>43</v>
      </c>
      <c r="X30" s="39">
        <f t="shared" si="7"/>
        <v>5.6603773584905656E-3</v>
      </c>
      <c r="Y30" s="17">
        <f t="shared" si="8"/>
        <v>122.52158296173586</v>
      </c>
      <c r="AD30" s="2" t="s">
        <v>43</v>
      </c>
      <c r="AE30" s="44">
        <f t="shared" si="11"/>
        <v>5.6603773584905656E-3</v>
      </c>
      <c r="AF30" s="17">
        <f t="shared" si="12"/>
        <v>59.069382905925451</v>
      </c>
      <c r="AK30" s="2" t="s">
        <v>43</v>
      </c>
      <c r="AL30" s="43">
        <f t="shared" si="13"/>
        <v>9.433962264150943E-3</v>
      </c>
      <c r="AM30" s="17">
        <f t="shared" si="14"/>
        <v>180.09244639197721</v>
      </c>
      <c r="AN30" s="2" t="s">
        <v>111</v>
      </c>
      <c r="AO30" s="43">
        <f t="shared" si="15"/>
        <v>1.1111111111111112E-2</v>
      </c>
      <c r="AP30" s="15">
        <f t="shared" si="16"/>
        <v>212.1088813061065</v>
      </c>
      <c r="AR30" s="2" t="s">
        <v>43</v>
      </c>
      <c r="AS30" s="46">
        <f t="shared" si="17"/>
        <v>9.433962264150943E-3</v>
      </c>
      <c r="AT30" s="17">
        <f t="shared" si="18"/>
        <v>75.27171370085388</v>
      </c>
      <c r="AU30" s="2" t="s">
        <v>125</v>
      </c>
      <c r="AV30" s="85">
        <f t="shared" si="19"/>
        <v>1.4285714285714285E-2</v>
      </c>
      <c r="AW30" s="15">
        <f t="shared" si="20"/>
        <v>113.9828807470073</v>
      </c>
    </row>
    <row r="31" spans="2:49" x14ac:dyDescent="0.35">
      <c r="B31" s="2" t="s">
        <v>49</v>
      </c>
      <c r="C31" s="36">
        <v>0.02</v>
      </c>
      <c r="D31" s="17">
        <f t="shared" si="3"/>
        <v>261.37900118077931</v>
      </c>
      <c r="I31" s="2" t="s">
        <v>49</v>
      </c>
      <c r="J31" s="42">
        <v>0.01</v>
      </c>
      <c r="K31" s="17">
        <f t="shared" si="4"/>
        <v>91.982084876018163</v>
      </c>
      <c r="N31" s="10"/>
      <c r="P31" s="2" t="s">
        <v>49</v>
      </c>
      <c r="Q31" s="14">
        <v>1.1320754716981131E-2</v>
      </c>
      <c r="R31" s="17">
        <f t="shared" si="5"/>
        <v>160.57965589515499</v>
      </c>
      <c r="S31" s="2" t="s">
        <v>81</v>
      </c>
      <c r="T31" s="40">
        <f t="shared" si="6"/>
        <v>1.3571428571428571E-2</v>
      </c>
      <c r="U31" s="17">
        <f t="shared" si="2"/>
        <v>192.50442081716793</v>
      </c>
      <c r="W31" s="2" t="s">
        <v>49</v>
      </c>
      <c r="X31" s="39">
        <f t="shared" si="7"/>
        <v>5.6603773584905656E-3</v>
      </c>
      <c r="Y31" s="17">
        <f t="shared" si="8"/>
        <v>122.52158296173586</v>
      </c>
      <c r="AD31" s="2" t="s">
        <v>49</v>
      </c>
      <c r="AE31" s="44">
        <f t="shared" si="11"/>
        <v>5.6603773584905656E-3</v>
      </c>
      <c r="AF31" s="17">
        <f t="shared" si="12"/>
        <v>59.069382905925451</v>
      </c>
      <c r="AK31" s="2" t="s">
        <v>49</v>
      </c>
      <c r="AL31" s="43">
        <f t="shared" si="13"/>
        <v>9.433962264150943E-3</v>
      </c>
      <c r="AM31" s="17">
        <f t="shared" si="14"/>
        <v>180.09244639197721</v>
      </c>
      <c r="AN31" s="2" t="s">
        <v>7</v>
      </c>
      <c r="AO31" s="43">
        <f t="shared" si="15"/>
        <v>1.1111111111111112E-2</v>
      </c>
      <c r="AP31" s="15">
        <f t="shared" si="16"/>
        <v>212.1088813061065</v>
      </c>
      <c r="AR31" s="2" t="s">
        <v>49</v>
      </c>
      <c r="AS31" s="46">
        <f t="shared" si="17"/>
        <v>9.433962264150943E-3</v>
      </c>
      <c r="AT31" s="17">
        <f t="shared" si="18"/>
        <v>75.27171370085388</v>
      </c>
      <c r="AU31" s="2" t="s">
        <v>225</v>
      </c>
      <c r="AV31" s="85">
        <f t="shared" si="19"/>
        <v>1.4285714285714285E-2</v>
      </c>
      <c r="AW31" s="15">
        <f t="shared" si="20"/>
        <v>113.9828807470073</v>
      </c>
    </row>
    <row r="32" spans="2:49" x14ac:dyDescent="0.35">
      <c r="B32" s="2" t="s">
        <v>26</v>
      </c>
      <c r="C32" s="36">
        <v>0.02</v>
      </c>
      <c r="D32" s="17">
        <f t="shared" si="3"/>
        <v>261.37900118077931</v>
      </c>
      <c r="G32" s="10"/>
      <c r="I32" s="2" t="s">
        <v>26</v>
      </c>
      <c r="J32" s="42">
        <v>0.04</v>
      </c>
      <c r="K32" s="17">
        <f t="shared" si="4"/>
        <v>367.92833950407265</v>
      </c>
      <c r="L32" s="10"/>
      <c r="M32" s="10"/>
      <c r="N32" s="10"/>
      <c r="P32" s="2" t="s">
        <v>26</v>
      </c>
      <c r="Q32" s="14">
        <v>1.1320754716981131E-2</v>
      </c>
      <c r="R32" s="17">
        <f t="shared" si="5"/>
        <v>160.57965589515499</v>
      </c>
      <c r="U32" s="10">
        <f>SUM(U4:U31)</f>
        <v>5390.1237828807007</v>
      </c>
      <c r="W32" s="2" t="s">
        <v>26</v>
      </c>
      <c r="X32" s="39">
        <f t="shared" si="7"/>
        <v>5.6603773584905656E-3</v>
      </c>
      <c r="Y32" s="17">
        <f t="shared" si="8"/>
        <v>122.52158296173586</v>
      </c>
      <c r="AD32" s="2" t="s">
        <v>26</v>
      </c>
      <c r="AE32" s="44">
        <f t="shared" si="11"/>
        <v>5.6603773584905656E-3</v>
      </c>
      <c r="AF32" s="17">
        <f t="shared" si="12"/>
        <v>59.069382905925451</v>
      </c>
      <c r="AK32" s="2" t="s">
        <v>26</v>
      </c>
      <c r="AL32" s="43">
        <f t="shared" si="13"/>
        <v>9.433962264150943E-3</v>
      </c>
      <c r="AM32" s="17">
        <f t="shared" si="14"/>
        <v>180.09244639197721</v>
      </c>
      <c r="AN32" s="2" t="s">
        <v>110</v>
      </c>
      <c r="AO32" s="43">
        <f t="shared" si="15"/>
        <v>1.1111111111111112E-2</v>
      </c>
      <c r="AP32" s="15">
        <f t="shared" si="16"/>
        <v>212.1088813061065</v>
      </c>
      <c r="AR32" s="2" t="s">
        <v>26</v>
      </c>
      <c r="AS32" s="46">
        <f t="shared" si="17"/>
        <v>9.433962264150943E-3</v>
      </c>
      <c r="AT32" s="17">
        <f t="shared" si="18"/>
        <v>75.27171370085388</v>
      </c>
      <c r="AU32" s="2" t="s">
        <v>80</v>
      </c>
      <c r="AV32" s="85">
        <f t="shared" si="19"/>
        <v>1.4285714285714285E-2</v>
      </c>
      <c r="AW32" s="15">
        <f t="shared" si="20"/>
        <v>113.9828807470073</v>
      </c>
    </row>
    <row r="33" spans="2:49" x14ac:dyDescent="0.35">
      <c r="B33" s="2" t="s">
        <v>21</v>
      </c>
      <c r="C33" s="36">
        <v>0.02</v>
      </c>
      <c r="D33" s="17">
        <f t="shared" si="3"/>
        <v>261.37900118077931</v>
      </c>
      <c r="I33" s="2" t="s">
        <v>21</v>
      </c>
      <c r="J33" s="43">
        <v>7.0000000000000007E-2</v>
      </c>
      <c r="K33" s="17">
        <f t="shared" ref="K33:K56" si="22">$K$3*J33</f>
        <v>643.87459413212719</v>
      </c>
      <c r="N33" s="10"/>
      <c r="P33" s="2" t="s">
        <v>21</v>
      </c>
      <c r="Q33" s="14">
        <v>1.1320754716981131E-2</v>
      </c>
      <c r="R33" s="17">
        <f t="shared" si="5"/>
        <v>160.57965589515499</v>
      </c>
      <c r="W33" s="2" t="s">
        <v>21</v>
      </c>
      <c r="X33" s="39">
        <f t="shared" si="7"/>
        <v>5.6603773584905656E-3</v>
      </c>
      <c r="Y33" s="17">
        <f t="shared" si="8"/>
        <v>122.52158296173586</v>
      </c>
      <c r="AD33" s="2" t="s">
        <v>21</v>
      </c>
      <c r="AE33" s="44">
        <f t="shared" si="11"/>
        <v>5.6603773584905656E-3</v>
      </c>
      <c r="AF33" s="17">
        <f t="shared" si="12"/>
        <v>59.069382905925451</v>
      </c>
      <c r="AK33" s="2" t="s">
        <v>21</v>
      </c>
      <c r="AL33" s="43">
        <f t="shared" si="13"/>
        <v>9.433962264150943E-3</v>
      </c>
      <c r="AM33" s="17">
        <f t="shared" si="14"/>
        <v>180.09244639197721</v>
      </c>
      <c r="AN33" s="2" t="s">
        <v>105</v>
      </c>
      <c r="AO33" s="43">
        <f t="shared" si="15"/>
        <v>1.1111111111111112E-2</v>
      </c>
      <c r="AP33" s="15">
        <f t="shared" si="16"/>
        <v>212.1088813061065</v>
      </c>
      <c r="AR33" s="2" t="s">
        <v>21</v>
      </c>
      <c r="AS33" s="46">
        <f t="shared" si="17"/>
        <v>9.433962264150943E-3</v>
      </c>
      <c r="AT33" s="17">
        <f t="shared" si="18"/>
        <v>75.27171370085388</v>
      </c>
      <c r="AU33" s="2" t="s">
        <v>77</v>
      </c>
      <c r="AV33" s="85">
        <f t="shared" si="19"/>
        <v>1.4285714285714285E-2</v>
      </c>
      <c r="AW33" s="15">
        <f t="shared" si="20"/>
        <v>113.9828807470073</v>
      </c>
    </row>
    <row r="34" spans="2:49" x14ac:dyDescent="0.35">
      <c r="B34" s="2" t="s">
        <v>35</v>
      </c>
      <c r="C34" s="36">
        <v>0.01</v>
      </c>
      <c r="D34" s="17">
        <f t="shared" si="3"/>
        <v>130.68950059038966</v>
      </c>
      <c r="G34" s="10"/>
      <c r="I34" s="2" t="s">
        <v>35</v>
      </c>
      <c r="J34" s="42">
        <v>0.04</v>
      </c>
      <c r="K34" s="17">
        <f t="shared" si="22"/>
        <v>367.92833950407265</v>
      </c>
      <c r="N34" s="10"/>
      <c r="P34" s="2" t="s">
        <v>35</v>
      </c>
      <c r="Q34" s="14">
        <v>0.01</v>
      </c>
      <c r="R34" s="17">
        <f t="shared" si="5"/>
        <v>141.8453627073869</v>
      </c>
      <c r="W34" s="2" t="s">
        <v>35</v>
      </c>
      <c r="X34" s="39">
        <f t="shared" si="7"/>
        <v>5.6603773584905656E-3</v>
      </c>
      <c r="Y34" s="17">
        <f t="shared" si="8"/>
        <v>122.52158296173586</v>
      </c>
      <c r="AD34" s="2" t="s">
        <v>35</v>
      </c>
      <c r="AE34" s="44">
        <f t="shared" si="11"/>
        <v>5.6603773584905656E-3</v>
      </c>
      <c r="AF34" s="17">
        <f t="shared" si="12"/>
        <v>59.069382905925451</v>
      </c>
      <c r="AK34" s="2" t="s">
        <v>35</v>
      </c>
      <c r="AL34" s="43">
        <f t="shared" si="13"/>
        <v>9.433962264150943E-3</v>
      </c>
      <c r="AM34" s="17">
        <f t="shared" si="14"/>
        <v>180.09244639197721</v>
      </c>
      <c r="AN34" s="2" t="s">
        <v>109</v>
      </c>
      <c r="AO34" s="43">
        <f t="shared" si="15"/>
        <v>1.1111111111111112E-2</v>
      </c>
      <c r="AP34" s="15">
        <f t="shared" si="16"/>
        <v>212.1088813061065</v>
      </c>
      <c r="AR34" s="2" t="s">
        <v>35</v>
      </c>
      <c r="AS34" s="46">
        <f t="shared" si="17"/>
        <v>9.433962264150943E-3</v>
      </c>
      <c r="AT34" s="17">
        <f t="shared" si="18"/>
        <v>75.27171370085388</v>
      </c>
      <c r="AU34" s="2" t="s">
        <v>75</v>
      </c>
      <c r="AV34" s="85">
        <f t="shared" si="19"/>
        <v>1.4285714285714285E-2</v>
      </c>
      <c r="AW34" s="15">
        <f t="shared" si="20"/>
        <v>113.9828807470073</v>
      </c>
    </row>
    <row r="35" spans="2:49" x14ac:dyDescent="0.35">
      <c r="B35" s="2" t="s">
        <v>34</v>
      </c>
      <c r="C35" s="36">
        <v>0.01</v>
      </c>
      <c r="D35" s="17">
        <f t="shared" si="3"/>
        <v>130.68950059038966</v>
      </c>
      <c r="I35" s="2" t="s">
        <v>34</v>
      </c>
      <c r="J35" s="42">
        <v>0.04</v>
      </c>
      <c r="K35" s="17">
        <f t="shared" si="22"/>
        <v>367.92833950407265</v>
      </c>
      <c r="N35" s="10"/>
      <c r="P35" s="2" t="s">
        <v>34</v>
      </c>
      <c r="Q35" s="14">
        <v>0.01</v>
      </c>
      <c r="R35" s="17">
        <f t="shared" si="5"/>
        <v>141.8453627073869</v>
      </c>
      <c r="W35" s="2" t="s">
        <v>34</v>
      </c>
      <c r="X35" s="39">
        <f t="shared" si="7"/>
        <v>5.6603773584905656E-3</v>
      </c>
      <c r="Y35" s="17">
        <f t="shared" si="8"/>
        <v>122.52158296173586</v>
      </c>
      <c r="AD35" s="2" t="s">
        <v>34</v>
      </c>
      <c r="AE35" s="44">
        <f t="shared" si="11"/>
        <v>5.6603773584905656E-3</v>
      </c>
      <c r="AF35" s="17">
        <f t="shared" si="12"/>
        <v>59.069382905925451</v>
      </c>
      <c r="AK35" s="2" t="s">
        <v>34</v>
      </c>
      <c r="AL35" s="43">
        <f t="shared" si="13"/>
        <v>9.433962264150943E-3</v>
      </c>
      <c r="AM35" s="17">
        <f t="shared" si="14"/>
        <v>180.09244639197721</v>
      </c>
      <c r="AN35" s="2" t="s">
        <v>78</v>
      </c>
      <c r="AO35" s="43">
        <f t="shared" si="15"/>
        <v>1.1111111111111112E-2</v>
      </c>
      <c r="AP35" s="15">
        <f t="shared" si="16"/>
        <v>212.1088813061065</v>
      </c>
      <c r="AR35" s="2" t="s">
        <v>34</v>
      </c>
      <c r="AS35" s="46">
        <f t="shared" si="17"/>
        <v>9.433962264150943E-3</v>
      </c>
      <c r="AT35" s="17">
        <f t="shared" si="18"/>
        <v>75.27171370085388</v>
      </c>
      <c r="AU35" s="2" t="s">
        <v>76</v>
      </c>
      <c r="AV35" s="85">
        <f t="shared" si="19"/>
        <v>1.4285714285714285E-2</v>
      </c>
      <c r="AW35" s="15">
        <f t="shared" si="20"/>
        <v>113.9828807470073</v>
      </c>
    </row>
    <row r="36" spans="2:49" x14ac:dyDescent="0.35">
      <c r="B36" s="2" t="s">
        <v>56</v>
      </c>
      <c r="C36" s="36">
        <v>0.02</v>
      </c>
      <c r="D36" s="17">
        <f t="shared" si="3"/>
        <v>261.37900118077931</v>
      </c>
      <c r="G36" s="10"/>
      <c r="I36" s="2" t="s">
        <v>56</v>
      </c>
      <c r="J36" s="42">
        <v>0.04</v>
      </c>
      <c r="K36" s="17">
        <f t="shared" si="22"/>
        <v>367.92833950407265</v>
      </c>
      <c r="N36" s="10"/>
      <c r="P36" s="2" t="s">
        <v>56</v>
      </c>
      <c r="Q36" s="14">
        <v>1.1320754716981131E-2</v>
      </c>
      <c r="R36" s="17">
        <f t="shared" si="5"/>
        <v>160.57965589515499</v>
      </c>
      <c r="W36" s="2" t="s">
        <v>56</v>
      </c>
      <c r="X36" s="39">
        <f t="shared" si="7"/>
        <v>5.6603773584905656E-3</v>
      </c>
      <c r="Y36" s="17">
        <f t="shared" si="8"/>
        <v>122.52158296173586</v>
      </c>
      <c r="AD36" s="2" t="s">
        <v>56</v>
      </c>
      <c r="AE36" s="44">
        <f t="shared" si="11"/>
        <v>5.6603773584905656E-3</v>
      </c>
      <c r="AF36" s="17">
        <f t="shared" si="12"/>
        <v>59.069382905925451</v>
      </c>
      <c r="AK36" s="2" t="s">
        <v>56</v>
      </c>
      <c r="AL36" s="43">
        <f t="shared" si="13"/>
        <v>9.433962264150943E-3</v>
      </c>
      <c r="AM36" s="17">
        <f t="shared" si="14"/>
        <v>180.09244639197721</v>
      </c>
      <c r="AN36" s="2" t="s">
        <v>125</v>
      </c>
      <c r="AO36" s="43">
        <f t="shared" si="15"/>
        <v>1.1111111111111112E-2</v>
      </c>
      <c r="AP36" s="15">
        <f t="shared" si="16"/>
        <v>212.1088813061065</v>
      </c>
      <c r="AR36" s="2" t="s">
        <v>56</v>
      </c>
      <c r="AS36" s="46">
        <f t="shared" si="17"/>
        <v>9.433962264150943E-3</v>
      </c>
      <c r="AT36" s="17">
        <f t="shared" si="18"/>
        <v>75.27171370085388</v>
      </c>
      <c r="AU36" s="2" t="s">
        <v>107</v>
      </c>
      <c r="AV36" s="85">
        <f t="shared" si="19"/>
        <v>1.4285714285714285E-2</v>
      </c>
      <c r="AW36" s="15">
        <f t="shared" si="20"/>
        <v>113.9828807470073</v>
      </c>
    </row>
    <row r="37" spans="2:49" x14ac:dyDescent="0.35">
      <c r="B37" s="2" t="s">
        <v>24</v>
      </c>
      <c r="C37" s="36">
        <v>0.02</v>
      </c>
      <c r="D37" s="17">
        <f t="shared" si="3"/>
        <v>261.37900118077931</v>
      </c>
      <c r="I37" s="2" t="s">
        <v>24</v>
      </c>
      <c r="J37" s="42">
        <v>0.02</v>
      </c>
      <c r="K37" s="17">
        <f t="shared" si="22"/>
        <v>183.96416975203633</v>
      </c>
      <c r="N37" s="10"/>
      <c r="P37" s="2" t="s">
        <v>24</v>
      </c>
      <c r="Q37" s="14">
        <v>1.1320754716981131E-2</v>
      </c>
      <c r="R37" s="17">
        <f t="shared" si="5"/>
        <v>160.57965589515499</v>
      </c>
      <c r="W37" s="2" t="s">
        <v>24</v>
      </c>
      <c r="X37" s="39">
        <f t="shared" si="7"/>
        <v>5.6603773584905656E-3</v>
      </c>
      <c r="Y37" s="17">
        <f t="shared" si="8"/>
        <v>122.52158296173586</v>
      </c>
      <c r="AD37" s="2" t="s">
        <v>24</v>
      </c>
      <c r="AE37" s="44">
        <f t="shared" si="11"/>
        <v>5.6603773584905656E-3</v>
      </c>
      <c r="AF37" s="17">
        <f t="shared" si="12"/>
        <v>59.069382905925451</v>
      </c>
      <c r="AK37" s="2" t="s">
        <v>24</v>
      </c>
      <c r="AL37" s="43">
        <f t="shared" si="13"/>
        <v>9.433962264150943E-3</v>
      </c>
      <c r="AM37" s="17">
        <f t="shared" si="14"/>
        <v>180.09244639197721</v>
      </c>
      <c r="AN37" s="2" t="s">
        <v>225</v>
      </c>
      <c r="AO37" s="43">
        <f t="shared" si="15"/>
        <v>1.1111111111111112E-2</v>
      </c>
      <c r="AP37" s="15">
        <f t="shared" si="16"/>
        <v>212.1088813061065</v>
      </c>
      <c r="AR37" s="2" t="s">
        <v>24</v>
      </c>
      <c r="AS37" s="46">
        <f t="shared" si="17"/>
        <v>9.433962264150943E-3</v>
      </c>
      <c r="AT37" s="17">
        <f t="shared" si="18"/>
        <v>75.27171370085388</v>
      </c>
      <c r="AU37" s="2" t="s">
        <v>129</v>
      </c>
      <c r="AV37" s="85">
        <f t="shared" si="19"/>
        <v>1.4285714285714285E-2</v>
      </c>
      <c r="AW37" s="15">
        <f t="shared" si="20"/>
        <v>113.9828807470073</v>
      </c>
    </row>
    <row r="38" spans="2:49" x14ac:dyDescent="0.35">
      <c r="B38" s="2" t="s">
        <v>20</v>
      </c>
      <c r="C38" s="36">
        <v>0.01</v>
      </c>
      <c r="D38" s="17">
        <f t="shared" si="3"/>
        <v>130.68950059038966</v>
      </c>
      <c r="G38" s="10"/>
      <c r="I38" s="2" t="s">
        <v>20</v>
      </c>
      <c r="J38" s="42">
        <v>0.05</v>
      </c>
      <c r="K38" s="17">
        <f t="shared" si="22"/>
        <v>459.91042438009083</v>
      </c>
      <c r="N38" s="10"/>
      <c r="P38" s="2" t="s">
        <v>20</v>
      </c>
      <c r="Q38" s="14">
        <v>1.1320754716981131E-2</v>
      </c>
      <c r="R38" s="17">
        <f t="shared" si="5"/>
        <v>160.57965589515499</v>
      </c>
      <c r="W38" s="2" t="s">
        <v>20</v>
      </c>
      <c r="X38" s="39">
        <f t="shared" si="7"/>
        <v>5.6603773584905656E-3</v>
      </c>
      <c r="Y38" s="17">
        <f t="shared" si="8"/>
        <v>122.52158296173586</v>
      </c>
      <c r="AD38" s="2" t="s">
        <v>20</v>
      </c>
      <c r="AE38" s="44">
        <f t="shared" si="11"/>
        <v>5.6603773584905656E-3</v>
      </c>
      <c r="AF38" s="17">
        <f t="shared" si="12"/>
        <v>59.069382905925451</v>
      </c>
      <c r="AK38" s="2" t="s">
        <v>20</v>
      </c>
      <c r="AL38" s="43">
        <f t="shared" si="13"/>
        <v>9.433962264150943E-3</v>
      </c>
      <c r="AM38" s="17">
        <f t="shared" si="14"/>
        <v>180.09244639197721</v>
      </c>
      <c r="AN38" s="2" t="s">
        <v>80</v>
      </c>
      <c r="AO38" s="43">
        <f t="shared" si="15"/>
        <v>1.1111111111111112E-2</v>
      </c>
      <c r="AP38" s="15">
        <f t="shared" si="16"/>
        <v>212.1088813061065</v>
      </c>
      <c r="AR38" s="2" t="s">
        <v>20</v>
      </c>
      <c r="AS38" s="46">
        <f t="shared" si="17"/>
        <v>9.433962264150943E-3</v>
      </c>
      <c r="AT38" s="17">
        <f t="shared" si="18"/>
        <v>75.27171370085388</v>
      </c>
      <c r="AU38" s="2" t="s">
        <v>4</v>
      </c>
      <c r="AV38" s="85">
        <f t="shared" si="19"/>
        <v>1.4285714285714285E-2</v>
      </c>
      <c r="AW38" s="15">
        <f t="shared" si="20"/>
        <v>113.9828807470073</v>
      </c>
    </row>
    <row r="39" spans="2:49" x14ac:dyDescent="0.35">
      <c r="B39" s="2" t="s">
        <v>14</v>
      </c>
      <c r="C39" s="36">
        <v>0.02</v>
      </c>
      <c r="D39" s="17">
        <f t="shared" si="3"/>
        <v>261.37900118077931</v>
      </c>
      <c r="I39" s="2" t="s">
        <v>14</v>
      </c>
      <c r="J39" s="42">
        <v>0.04</v>
      </c>
      <c r="K39" s="17">
        <f t="shared" si="22"/>
        <v>367.92833950407265</v>
      </c>
      <c r="N39" s="10"/>
      <c r="P39" s="2" t="s">
        <v>14</v>
      </c>
      <c r="Q39" s="14">
        <v>1.1320754716981131E-2</v>
      </c>
      <c r="R39" s="17">
        <f t="shared" si="5"/>
        <v>160.57965589515499</v>
      </c>
      <c r="W39" s="2" t="s">
        <v>14</v>
      </c>
      <c r="X39" s="39">
        <f t="shared" si="7"/>
        <v>5.6603773584905656E-3</v>
      </c>
      <c r="Y39" s="17">
        <f t="shared" si="8"/>
        <v>122.52158296173586</v>
      </c>
      <c r="AD39" s="2" t="s">
        <v>14</v>
      </c>
      <c r="AE39" s="44">
        <f t="shared" si="11"/>
        <v>5.6603773584905656E-3</v>
      </c>
      <c r="AF39" s="17">
        <f t="shared" si="12"/>
        <v>59.069382905925451</v>
      </c>
      <c r="AK39" s="2" t="s">
        <v>14</v>
      </c>
      <c r="AL39" s="43">
        <f t="shared" si="13"/>
        <v>9.433962264150943E-3</v>
      </c>
      <c r="AM39" s="17">
        <f t="shared" si="14"/>
        <v>180.09244639197721</v>
      </c>
      <c r="AN39" s="2" t="s">
        <v>0</v>
      </c>
      <c r="AO39" s="43">
        <f t="shared" si="15"/>
        <v>1.1111111111111112E-2</v>
      </c>
      <c r="AP39" s="15">
        <f t="shared" si="16"/>
        <v>212.1088813061065</v>
      </c>
      <c r="AR39" s="2" t="s">
        <v>14</v>
      </c>
      <c r="AS39" s="46">
        <f t="shared" si="17"/>
        <v>9.433962264150943E-3</v>
      </c>
      <c r="AT39" s="17">
        <f t="shared" si="18"/>
        <v>75.27171370085388</v>
      </c>
    </row>
    <row r="40" spans="2:49" x14ac:dyDescent="0.35">
      <c r="B40" s="2" t="s">
        <v>31</v>
      </c>
      <c r="C40" s="36">
        <v>0.01</v>
      </c>
      <c r="D40" s="17">
        <f t="shared" si="3"/>
        <v>130.68950059038966</v>
      </c>
      <c r="G40" s="10"/>
      <c r="I40" s="2" t="s">
        <v>31</v>
      </c>
      <c r="J40" s="42">
        <v>0.01</v>
      </c>
      <c r="K40" s="17">
        <f t="shared" si="22"/>
        <v>91.982084876018163</v>
      </c>
      <c r="N40" s="10"/>
      <c r="P40" s="2" t="s">
        <v>31</v>
      </c>
      <c r="Q40" s="14">
        <v>1.1320754716981131E-2</v>
      </c>
      <c r="R40" s="17">
        <f t="shared" si="5"/>
        <v>160.57965589515499</v>
      </c>
      <c r="W40" s="2" t="s">
        <v>31</v>
      </c>
      <c r="X40" s="39">
        <f t="shared" si="7"/>
        <v>5.6603773584905656E-3</v>
      </c>
      <c r="Y40" s="17">
        <f t="shared" si="8"/>
        <v>122.52158296173586</v>
      </c>
      <c r="AD40" s="2" t="s">
        <v>31</v>
      </c>
      <c r="AE40" s="44">
        <f t="shared" si="11"/>
        <v>5.6603773584905656E-3</v>
      </c>
      <c r="AF40" s="17">
        <f t="shared" si="12"/>
        <v>59.069382905925451</v>
      </c>
      <c r="AK40" s="2" t="s">
        <v>31</v>
      </c>
      <c r="AL40" s="43">
        <f t="shared" si="13"/>
        <v>9.433962264150943E-3</v>
      </c>
      <c r="AM40" s="17">
        <f t="shared" si="14"/>
        <v>180.09244639197721</v>
      </c>
      <c r="AN40" s="2" t="s">
        <v>77</v>
      </c>
      <c r="AO40" s="43">
        <f t="shared" si="15"/>
        <v>1.1111111111111112E-2</v>
      </c>
      <c r="AP40" s="15">
        <f t="shared" si="16"/>
        <v>212.1088813061065</v>
      </c>
      <c r="AR40" s="2" t="s">
        <v>31</v>
      </c>
      <c r="AS40" s="46">
        <f t="shared" si="17"/>
        <v>9.433962264150943E-3</v>
      </c>
      <c r="AT40" s="17">
        <f t="shared" si="18"/>
        <v>75.27171370085388</v>
      </c>
    </row>
    <row r="41" spans="2:49" x14ac:dyDescent="0.35">
      <c r="B41" s="2" t="s">
        <v>46</v>
      </c>
      <c r="C41" s="36">
        <v>0.02</v>
      </c>
      <c r="D41" s="17">
        <f t="shared" si="3"/>
        <v>261.37900118077931</v>
      </c>
      <c r="I41" s="2" t="s">
        <v>46</v>
      </c>
      <c r="J41" s="42">
        <v>0.03</v>
      </c>
      <c r="K41" s="17">
        <f t="shared" si="22"/>
        <v>275.94625462805448</v>
      </c>
      <c r="N41" s="10"/>
      <c r="P41" s="2" t="s">
        <v>46</v>
      </c>
      <c r="Q41" s="14">
        <v>1.1320754716981131E-2</v>
      </c>
      <c r="R41" s="17">
        <f t="shared" si="5"/>
        <v>160.57965589515499</v>
      </c>
      <c r="W41" s="2" t="s">
        <v>46</v>
      </c>
      <c r="X41" s="39">
        <f t="shared" si="7"/>
        <v>5.6603773584905656E-3</v>
      </c>
      <c r="Y41" s="17">
        <f t="shared" si="8"/>
        <v>122.52158296173586</v>
      </c>
      <c r="AD41" s="2" t="s">
        <v>46</v>
      </c>
      <c r="AE41" s="44">
        <f t="shared" si="11"/>
        <v>5.6603773584905656E-3</v>
      </c>
      <c r="AF41" s="17">
        <f t="shared" si="12"/>
        <v>59.069382905925451</v>
      </c>
      <c r="AK41" s="2" t="s">
        <v>46</v>
      </c>
      <c r="AL41" s="43">
        <f t="shared" si="13"/>
        <v>9.433962264150943E-3</v>
      </c>
      <c r="AM41" s="17">
        <f t="shared" si="14"/>
        <v>180.09244639197721</v>
      </c>
      <c r="AN41" s="2" t="s">
        <v>75</v>
      </c>
      <c r="AO41" s="43">
        <f t="shared" si="15"/>
        <v>1.1111111111111112E-2</v>
      </c>
      <c r="AP41" s="15">
        <f t="shared" si="16"/>
        <v>212.1088813061065</v>
      </c>
      <c r="AR41" s="2" t="s">
        <v>46</v>
      </c>
      <c r="AS41" s="46">
        <f t="shared" si="17"/>
        <v>9.433962264150943E-3</v>
      </c>
      <c r="AT41" s="17">
        <f t="shared" si="18"/>
        <v>75.27171370085388</v>
      </c>
    </row>
    <row r="42" spans="2:49" x14ac:dyDescent="0.35">
      <c r="B42" s="2" t="s">
        <v>48</v>
      </c>
      <c r="C42" s="36">
        <v>0.01</v>
      </c>
      <c r="D42" s="17">
        <f t="shared" si="3"/>
        <v>130.68950059038966</v>
      </c>
      <c r="G42" s="10"/>
      <c r="I42" s="2" t="s">
        <v>48</v>
      </c>
      <c r="J42" s="42">
        <v>0.03</v>
      </c>
      <c r="K42" s="17">
        <f t="shared" si="22"/>
        <v>275.94625462805448</v>
      </c>
      <c r="N42" s="10"/>
      <c r="P42" s="2" t="s">
        <v>48</v>
      </c>
      <c r="Q42" s="14">
        <v>1.1320754716981131E-2</v>
      </c>
      <c r="R42" s="17">
        <f t="shared" si="5"/>
        <v>160.57965589515499</v>
      </c>
      <c r="W42" s="2" t="s">
        <v>48</v>
      </c>
      <c r="X42" s="39">
        <f t="shared" si="7"/>
        <v>5.6603773584905656E-3</v>
      </c>
      <c r="Y42" s="17">
        <f t="shared" si="8"/>
        <v>122.52158296173586</v>
      </c>
      <c r="AD42" s="2" t="s">
        <v>48</v>
      </c>
      <c r="AE42" s="44">
        <f t="shared" si="11"/>
        <v>5.6603773584905656E-3</v>
      </c>
      <c r="AF42" s="17">
        <f t="shared" si="12"/>
        <v>59.069382905925451</v>
      </c>
      <c r="AK42" s="2" t="s">
        <v>48</v>
      </c>
      <c r="AL42" s="43">
        <f t="shared" si="13"/>
        <v>9.433962264150943E-3</v>
      </c>
      <c r="AM42" s="17">
        <f t="shared" si="14"/>
        <v>180.09244639197721</v>
      </c>
      <c r="AN42" s="2" t="s">
        <v>76</v>
      </c>
      <c r="AO42" s="43">
        <f t="shared" si="15"/>
        <v>1.1111111111111112E-2</v>
      </c>
      <c r="AP42" s="15">
        <f t="shared" si="16"/>
        <v>212.1088813061065</v>
      </c>
      <c r="AR42" s="2" t="s">
        <v>48</v>
      </c>
      <c r="AS42" s="46">
        <f t="shared" si="17"/>
        <v>9.433962264150943E-3</v>
      </c>
      <c r="AT42" s="17">
        <f t="shared" si="18"/>
        <v>75.27171370085388</v>
      </c>
    </row>
    <row r="43" spans="2:49" x14ac:dyDescent="0.35">
      <c r="B43" s="2" t="s">
        <v>47</v>
      </c>
      <c r="C43" s="36">
        <v>0.01</v>
      </c>
      <c r="D43" s="17">
        <f t="shared" si="3"/>
        <v>130.68950059038966</v>
      </c>
      <c r="I43" s="2" t="s">
        <v>47</v>
      </c>
      <c r="J43" s="42">
        <v>0.04</v>
      </c>
      <c r="K43" s="17">
        <f t="shared" si="22"/>
        <v>367.92833950407265</v>
      </c>
      <c r="N43" s="10"/>
      <c r="P43" s="2" t="s">
        <v>47</v>
      </c>
      <c r="Q43" s="14">
        <v>1.1320754716981131E-2</v>
      </c>
      <c r="R43" s="17">
        <f t="shared" si="5"/>
        <v>160.57965589515499</v>
      </c>
      <c r="W43" s="2" t="s">
        <v>47</v>
      </c>
      <c r="X43" s="39">
        <f t="shared" si="7"/>
        <v>5.6603773584905656E-3</v>
      </c>
      <c r="Y43" s="17">
        <f t="shared" si="8"/>
        <v>122.52158296173586</v>
      </c>
      <c r="AD43" s="2" t="s">
        <v>47</v>
      </c>
      <c r="AE43" s="44">
        <f t="shared" si="11"/>
        <v>5.6603773584905656E-3</v>
      </c>
      <c r="AF43" s="17">
        <f t="shared" si="12"/>
        <v>59.069382905925451</v>
      </c>
      <c r="AK43" s="2" t="s">
        <v>47</v>
      </c>
      <c r="AL43" s="43">
        <f t="shared" si="13"/>
        <v>9.433962264150943E-3</v>
      </c>
      <c r="AM43" s="17">
        <f t="shared" si="14"/>
        <v>180.09244639197721</v>
      </c>
      <c r="AN43" s="2" t="s">
        <v>107</v>
      </c>
      <c r="AO43" s="43">
        <f t="shared" si="15"/>
        <v>1.1111111111111112E-2</v>
      </c>
      <c r="AP43" s="15">
        <f t="shared" si="16"/>
        <v>212.1088813061065</v>
      </c>
      <c r="AR43" s="2" t="s">
        <v>47</v>
      </c>
      <c r="AS43" s="46">
        <f t="shared" si="17"/>
        <v>9.433962264150943E-3</v>
      </c>
      <c r="AT43" s="17">
        <f t="shared" si="18"/>
        <v>75.27171370085388</v>
      </c>
    </row>
    <row r="44" spans="2:49" x14ac:dyDescent="0.35">
      <c r="B44" s="2" t="s">
        <v>51</v>
      </c>
      <c r="C44" s="36">
        <v>0.01</v>
      </c>
      <c r="D44" s="17">
        <f t="shared" si="3"/>
        <v>130.68950059038966</v>
      </c>
      <c r="G44" s="10"/>
      <c r="I44" s="2" t="s">
        <v>51</v>
      </c>
      <c r="J44" s="42">
        <v>0.02</v>
      </c>
      <c r="K44" s="17">
        <f t="shared" si="22"/>
        <v>183.96416975203633</v>
      </c>
      <c r="N44" s="10"/>
      <c r="P44" s="2" t="s">
        <v>51</v>
      </c>
      <c r="Q44" s="14">
        <v>1.1320754716981131E-2</v>
      </c>
      <c r="R44" s="17">
        <f t="shared" si="5"/>
        <v>160.57965589515499</v>
      </c>
      <c r="W44" s="2" t="s">
        <v>51</v>
      </c>
      <c r="X44" s="39">
        <f t="shared" si="7"/>
        <v>5.6603773584905656E-3</v>
      </c>
      <c r="Y44" s="17">
        <f t="shared" si="8"/>
        <v>122.52158296173586</v>
      </c>
      <c r="AD44" s="2" t="s">
        <v>51</v>
      </c>
      <c r="AE44" s="44">
        <f t="shared" si="11"/>
        <v>5.6603773584905656E-3</v>
      </c>
      <c r="AF44" s="17">
        <f t="shared" si="12"/>
        <v>59.069382905925451</v>
      </c>
      <c r="AK44" s="2" t="s">
        <v>51</v>
      </c>
      <c r="AL44" s="43">
        <f t="shared" si="13"/>
        <v>9.433962264150943E-3</v>
      </c>
      <c r="AM44" s="17">
        <f t="shared" si="14"/>
        <v>180.09244639197721</v>
      </c>
      <c r="AN44" s="2" t="s">
        <v>129</v>
      </c>
      <c r="AO44" s="43">
        <f t="shared" si="15"/>
        <v>1.1111111111111112E-2</v>
      </c>
      <c r="AP44" s="15">
        <f t="shared" si="16"/>
        <v>212.1088813061065</v>
      </c>
      <c r="AR44" s="2" t="s">
        <v>51</v>
      </c>
      <c r="AS44" s="46">
        <f t="shared" si="17"/>
        <v>9.433962264150943E-3</v>
      </c>
      <c r="AT44" s="17">
        <f t="shared" si="18"/>
        <v>75.27171370085388</v>
      </c>
    </row>
    <row r="45" spans="2:49" x14ac:dyDescent="0.35">
      <c r="B45" s="2" t="s">
        <v>52</v>
      </c>
      <c r="C45" s="36">
        <v>0.01</v>
      </c>
      <c r="D45" s="17">
        <f t="shared" si="3"/>
        <v>130.68950059038966</v>
      </c>
      <c r="I45" s="2" t="s">
        <v>52</v>
      </c>
      <c r="J45" s="42">
        <v>0.01</v>
      </c>
      <c r="K45" s="17">
        <f t="shared" si="22"/>
        <v>91.982084876018163</v>
      </c>
      <c r="N45" s="10"/>
      <c r="P45" s="2" t="s">
        <v>52</v>
      </c>
      <c r="Q45" s="14">
        <v>1.1320754716981131E-2</v>
      </c>
      <c r="R45" s="17">
        <f t="shared" si="5"/>
        <v>160.57965589515499</v>
      </c>
      <c r="W45" s="2" t="s">
        <v>52</v>
      </c>
      <c r="X45" s="39">
        <f t="shared" si="7"/>
        <v>5.6603773584905656E-3</v>
      </c>
      <c r="Y45" s="17">
        <f t="shared" si="8"/>
        <v>122.52158296173586</v>
      </c>
      <c r="AD45" s="2" t="s">
        <v>52</v>
      </c>
      <c r="AE45" s="44">
        <f t="shared" si="11"/>
        <v>5.6603773584905656E-3</v>
      </c>
      <c r="AF45" s="17">
        <f t="shared" si="12"/>
        <v>59.069382905925451</v>
      </c>
      <c r="AK45" s="2" t="s">
        <v>52</v>
      </c>
      <c r="AL45" s="43">
        <f t="shared" si="13"/>
        <v>9.433962264150943E-3</v>
      </c>
      <c r="AM45" s="17">
        <f t="shared" si="14"/>
        <v>180.09244639197721</v>
      </c>
      <c r="AN45" s="2" t="s">
        <v>73</v>
      </c>
      <c r="AO45" s="43">
        <f t="shared" si="15"/>
        <v>1.1111111111111112E-2</v>
      </c>
      <c r="AP45" s="15">
        <f t="shared" si="16"/>
        <v>212.1088813061065</v>
      </c>
      <c r="AR45" s="2" t="s">
        <v>52</v>
      </c>
      <c r="AS45" s="46">
        <f t="shared" si="17"/>
        <v>9.433962264150943E-3</v>
      </c>
      <c r="AT45" s="17">
        <f t="shared" si="18"/>
        <v>75.27171370085388</v>
      </c>
    </row>
    <row r="46" spans="2:49" x14ac:dyDescent="0.35">
      <c r="B46" s="2" t="s">
        <v>41</v>
      </c>
      <c r="C46" s="36">
        <v>0.02</v>
      </c>
      <c r="D46" s="17">
        <f t="shared" si="3"/>
        <v>261.37900118077931</v>
      </c>
      <c r="G46" s="10"/>
      <c r="I46" s="2" t="s">
        <v>41</v>
      </c>
      <c r="J46" s="42">
        <v>0.03</v>
      </c>
      <c r="K46" s="17">
        <f t="shared" si="22"/>
        <v>275.94625462805448</v>
      </c>
      <c r="N46" s="10"/>
      <c r="P46" s="2" t="s">
        <v>41</v>
      </c>
      <c r="Q46" s="14">
        <v>0.01</v>
      </c>
      <c r="R46" s="17">
        <f t="shared" si="5"/>
        <v>141.8453627073869</v>
      </c>
      <c r="W46" s="2" t="s">
        <v>41</v>
      </c>
      <c r="X46" s="39">
        <f t="shared" si="7"/>
        <v>5.6603773584905656E-3</v>
      </c>
      <c r="Y46" s="17">
        <f t="shared" si="8"/>
        <v>122.52158296173586</v>
      </c>
      <c r="AD46" s="2" t="s">
        <v>41</v>
      </c>
      <c r="AE46" s="44">
        <f t="shared" si="11"/>
        <v>5.6603773584905656E-3</v>
      </c>
      <c r="AF46" s="17">
        <f t="shared" si="12"/>
        <v>59.069382905925451</v>
      </c>
      <c r="AK46" s="2" t="s">
        <v>41</v>
      </c>
      <c r="AL46" s="43">
        <f t="shared" si="13"/>
        <v>9.433962264150943E-3</v>
      </c>
      <c r="AM46" s="17">
        <f t="shared" si="14"/>
        <v>180.09244639197721</v>
      </c>
      <c r="AN46" s="2" t="s">
        <v>4</v>
      </c>
      <c r="AO46" s="43">
        <f t="shared" si="15"/>
        <v>1.1111111111111112E-2</v>
      </c>
      <c r="AP46" s="15">
        <f t="shared" si="16"/>
        <v>212.1088813061065</v>
      </c>
      <c r="AR46" s="2" t="s">
        <v>41</v>
      </c>
      <c r="AS46" s="46">
        <f t="shared" si="17"/>
        <v>9.433962264150943E-3</v>
      </c>
      <c r="AT46" s="17">
        <f t="shared" si="18"/>
        <v>75.27171370085388</v>
      </c>
    </row>
    <row r="47" spans="2:49" x14ac:dyDescent="0.35">
      <c r="B47" s="2" t="s">
        <v>19</v>
      </c>
      <c r="C47" s="36">
        <v>0.02</v>
      </c>
      <c r="D47" s="17">
        <f t="shared" si="3"/>
        <v>261.37900118077931</v>
      </c>
      <c r="I47" s="2" t="s">
        <v>19</v>
      </c>
      <c r="J47" s="42">
        <v>0.01</v>
      </c>
      <c r="K47" s="17">
        <f t="shared" si="22"/>
        <v>91.982084876018163</v>
      </c>
      <c r="N47" s="10"/>
      <c r="P47" s="2" t="s">
        <v>19</v>
      </c>
      <c r="Q47" s="14">
        <v>0.01</v>
      </c>
      <c r="R47" s="17">
        <f t="shared" si="5"/>
        <v>141.8453627073869</v>
      </c>
      <c r="W47" s="2" t="s">
        <v>19</v>
      </c>
      <c r="X47" s="39">
        <f t="shared" si="7"/>
        <v>5.6603773584905656E-3</v>
      </c>
      <c r="Y47" s="17">
        <f t="shared" si="8"/>
        <v>122.52158296173586</v>
      </c>
      <c r="AD47" s="2" t="s">
        <v>19</v>
      </c>
      <c r="AE47" s="44">
        <f t="shared" si="11"/>
        <v>5.6603773584905656E-3</v>
      </c>
      <c r="AF47" s="17">
        <f t="shared" si="12"/>
        <v>59.069382905925451</v>
      </c>
      <c r="AK47" s="2" t="s">
        <v>19</v>
      </c>
      <c r="AL47" s="43">
        <f t="shared" si="13"/>
        <v>9.433962264150943E-3</v>
      </c>
      <c r="AM47" s="17">
        <f t="shared" si="14"/>
        <v>180.09244639197721</v>
      </c>
      <c r="AN47" s="2" t="s">
        <v>115</v>
      </c>
      <c r="AO47" s="43">
        <f t="shared" si="15"/>
        <v>1.1111111111111112E-2</v>
      </c>
      <c r="AP47" s="15">
        <f t="shared" si="16"/>
        <v>212.1088813061065</v>
      </c>
      <c r="AR47" s="2" t="s">
        <v>19</v>
      </c>
      <c r="AS47" s="46">
        <f t="shared" si="17"/>
        <v>9.433962264150943E-3</v>
      </c>
      <c r="AT47" s="17">
        <f t="shared" si="18"/>
        <v>75.27171370085388</v>
      </c>
    </row>
    <row r="48" spans="2:49" x14ac:dyDescent="0.35">
      <c r="B48" s="2" t="s">
        <v>36</v>
      </c>
      <c r="C48" s="36">
        <v>0.02</v>
      </c>
      <c r="D48" s="17">
        <f t="shared" si="3"/>
        <v>261.37900118077931</v>
      </c>
      <c r="G48" s="10"/>
      <c r="I48" s="2" t="s">
        <v>36</v>
      </c>
      <c r="J48" s="42">
        <v>0.01</v>
      </c>
      <c r="K48" s="17">
        <f t="shared" si="22"/>
        <v>91.982084876018163</v>
      </c>
      <c r="N48" s="10"/>
      <c r="P48" s="2" t="s">
        <v>36</v>
      </c>
      <c r="Q48" s="14">
        <v>1.1320754716981131E-2</v>
      </c>
      <c r="R48" s="17">
        <f t="shared" si="5"/>
        <v>160.57965589515499</v>
      </c>
      <c r="W48" s="2" t="s">
        <v>36</v>
      </c>
      <c r="X48" s="39">
        <f t="shared" si="7"/>
        <v>5.6603773584905656E-3</v>
      </c>
      <c r="Y48" s="17">
        <f t="shared" si="8"/>
        <v>122.52158296173586</v>
      </c>
      <c r="AD48" s="2" t="s">
        <v>36</v>
      </c>
      <c r="AE48" s="44">
        <f t="shared" si="11"/>
        <v>5.6603773584905656E-3</v>
      </c>
      <c r="AF48" s="17">
        <f t="shared" si="12"/>
        <v>59.069382905925451</v>
      </c>
      <c r="AK48" s="2" t="s">
        <v>36</v>
      </c>
      <c r="AL48" s="43">
        <f t="shared" si="13"/>
        <v>9.433962264150943E-3</v>
      </c>
      <c r="AM48" s="17">
        <f t="shared" si="14"/>
        <v>180.09244639197721</v>
      </c>
      <c r="AN48" s="2" t="s">
        <v>116</v>
      </c>
      <c r="AO48" s="43">
        <f t="shared" si="15"/>
        <v>1.1111111111111112E-2</v>
      </c>
      <c r="AP48" s="15">
        <f t="shared" si="16"/>
        <v>212.1088813061065</v>
      </c>
      <c r="AR48" s="2" t="s">
        <v>36</v>
      </c>
      <c r="AS48" s="46">
        <f t="shared" si="17"/>
        <v>9.433962264150943E-3</v>
      </c>
      <c r="AT48" s="17">
        <f t="shared" si="18"/>
        <v>75.27171370085388</v>
      </c>
    </row>
    <row r="49" spans="2:46" x14ac:dyDescent="0.35">
      <c r="B49" s="2" t="s">
        <v>63</v>
      </c>
      <c r="C49" s="36">
        <v>0.03</v>
      </c>
      <c r="D49" s="17">
        <f t="shared" si="3"/>
        <v>392.06850177116894</v>
      </c>
      <c r="G49" s="10"/>
      <c r="I49" s="2" t="s">
        <v>63</v>
      </c>
      <c r="J49" s="42">
        <v>0.01</v>
      </c>
      <c r="K49" s="17">
        <f t="shared" si="22"/>
        <v>91.982084876018163</v>
      </c>
      <c r="P49" s="2" t="s">
        <v>63</v>
      </c>
      <c r="Q49" s="14">
        <v>1.06E-2</v>
      </c>
      <c r="R49" s="17">
        <f t="shared" si="5"/>
        <v>150.35608446983011</v>
      </c>
      <c r="W49" s="2" t="s">
        <v>63</v>
      </c>
      <c r="X49" s="39">
        <f t="shared" si="7"/>
        <v>5.6603773584905656E-3</v>
      </c>
      <c r="Y49" s="17">
        <f t="shared" si="8"/>
        <v>122.52158296173586</v>
      </c>
      <c r="AD49" s="2" t="s">
        <v>63</v>
      </c>
      <c r="AE49" s="44">
        <f t="shared" si="11"/>
        <v>5.6603773584905656E-3</v>
      </c>
      <c r="AF49" s="17">
        <f t="shared" si="12"/>
        <v>59.069382905925451</v>
      </c>
      <c r="AK49" s="2" t="s">
        <v>63</v>
      </c>
      <c r="AL49" s="43">
        <f t="shared" si="13"/>
        <v>9.433962264150943E-3</v>
      </c>
      <c r="AM49" s="17">
        <f t="shared" si="14"/>
        <v>180.09244639197721</v>
      </c>
      <c r="AR49" s="2" t="s">
        <v>63</v>
      </c>
      <c r="AS49" s="46">
        <f t="shared" si="17"/>
        <v>9.433962264150943E-3</v>
      </c>
      <c r="AT49" s="17">
        <f t="shared" si="18"/>
        <v>75.27171370085388</v>
      </c>
    </row>
    <row r="50" spans="2:46" x14ac:dyDescent="0.35">
      <c r="B50" s="2" t="s">
        <v>0</v>
      </c>
      <c r="C50" s="36">
        <v>0.02</v>
      </c>
      <c r="D50" s="17">
        <f t="shared" si="3"/>
        <v>261.37900118077931</v>
      </c>
      <c r="I50" s="2" t="s">
        <v>0</v>
      </c>
      <c r="J50" s="42">
        <v>0.01</v>
      </c>
      <c r="K50" s="17">
        <f t="shared" si="22"/>
        <v>91.982084876018163</v>
      </c>
      <c r="P50" s="2" t="s">
        <v>0</v>
      </c>
      <c r="Q50" s="14">
        <v>1.1320754716981131E-2</v>
      </c>
      <c r="R50" s="17">
        <f t="shared" si="5"/>
        <v>160.57965589515499</v>
      </c>
      <c r="W50" s="2" t="s">
        <v>0</v>
      </c>
      <c r="X50" s="39">
        <f t="shared" si="7"/>
        <v>5.6603773584905656E-3</v>
      </c>
      <c r="Y50" s="17">
        <f t="shared" si="8"/>
        <v>122.52158296173586</v>
      </c>
      <c r="AD50" s="2" t="s">
        <v>0</v>
      </c>
      <c r="AE50" s="44">
        <f t="shared" si="11"/>
        <v>5.6603773584905656E-3</v>
      </c>
      <c r="AF50" s="17">
        <f t="shared" si="12"/>
        <v>59.069382905925451</v>
      </c>
      <c r="AK50" s="2" t="s">
        <v>0</v>
      </c>
      <c r="AL50" s="43">
        <f t="shared" si="13"/>
        <v>9.433962264150943E-3</v>
      </c>
      <c r="AM50" s="17">
        <f t="shared" si="14"/>
        <v>180.09244639197721</v>
      </c>
      <c r="AO50" s="160"/>
      <c r="AR50" s="2" t="s">
        <v>0</v>
      </c>
      <c r="AS50" s="46">
        <f t="shared" si="17"/>
        <v>9.433962264150943E-3</v>
      </c>
      <c r="AT50" s="17">
        <f t="shared" si="18"/>
        <v>75.27171370085388</v>
      </c>
    </row>
    <row r="51" spans="2:46" x14ac:dyDescent="0.35">
      <c r="B51" s="2" t="s">
        <v>18</v>
      </c>
      <c r="C51" s="36">
        <v>0.02</v>
      </c>
      <c r="D51" s="17">
        <f t="shared" si="3"/>
        <v>261.37900118077931</v>
      </c>
      <c r="I51" s="2" t="s">
        <v>18</v>
      </c>
      <c r="J51" s="42">
        <v>0.01</v>
      </c>
      <c r="K51" s="17">
        <f t="shared" si="22"/>
        <v>91.982084876018163</v>
      </c>
      <c r="P51" s="2" t="s">
        <v>18</v>
      </c>
      <c r="Q51" s="14">
        <v>1.1320754716981131E-2</v>
      </c>
      <c r="R51" s="17">
        <f t="shared" si="5"/>
        <v>160.57965589515499</v>
      </c>
      <c r="W51" s="2" t="s">
        <v>18</v>
      </c>
      <c r="X51" s="39">
        <f t="shared" si="7"/>
        <v>5.6603773584905656E-3</v>
      </c>
      <c r="Y51" s="17">
        <f t="shared" si="8"/>
        <v>122.52158296173586</v>
      </c>
      <c r="AD51" s="2" t="s">
        <v>18</v>
      </c>
      <c r="AE51" s="44">
        <f t="shared" si="11"/>
        <v>5.6603773584905656E-3</v>
      </c>
      <c r="AF51" s="17">
        <f t="shared" si="12"/>
        <v>59.069382905925451</v>
      </c>
      <c r="AK51" s="2" t="s">
        <v>18</v>
      </c>
      <c r="AL51" s="43">
        <f t="shared" si="13"/>
        <v>9.433962264150943E-3</v>
      </c>
      <c r="AM51" s="17">
        <f t="shared" si="14"/>
        <v>180.09244639197721</v>
      </c>
      <c r="AR51" s="2" t="s">
        <v>18</v>
      </c>
      <c r="AS51" s="46">
        <f t="shared" si="17"/>
        <v>9.433962264150943E-3</v>
      </c>
      <c r="AT51" s="17">
        <f t="shared" si="18"/>
        <v>75.27171370085388</v>
      </c>
    </row>
    <row r="52" spans="2:46" x14ac:dyDescent="0.35">
      <c r="B52" s="2" t="s">
        <v>59</v>
      </c>
      <c r="C52" s="36">
        <v>0.02</v>
      </c>
      <c r="D52" s="17">
        <f t="shared" si="3"/>
        <v>261.37900118077931</v>
      </c>
      <c r="I52" s="2" t="s">
        <v>59</v>
      </c>
      <c r="J52" s="42">
        <v>0.01</v>
      </c>
      <c r="K52" s="17">
        <f t="shared" si="22"/>
        <v>91.982084876018163</v>
      </c>
      <c r="P52" s="2" t="s">
        <v>59</v>
      </c>
      <c r="Q52" s="14">
        <v>1.1320754716981131E-2</v>
      </c>
      <c r="R52" s="17">
        <f t="shared" si="5"/>
        <v>160.57965589515499</v>
      </c>
      <c r="W52" s="2" t="s">
        <v>59</v>
      </c>
      <c r="X52" s="39">
        <f t="shared" si="7"/>
        <v>5.6603773584905656E-3</v>
      </c>
      <c r="Y52" s="17">
        <f t="shared" si="8"/>
        <v>122.52158296173586</v>
      </c>
      <c r="AD52" s="2" t="s">
        <v>59</v>
      </c>
      <c r="AE52" s="44">
        <f t="shared" si="11"/>
        <v>5.6603773584905656E-3</v>
      </c>
      <c r="AF52" s="17">
        <f t="shared" si="12"/>
        <v>59.069382905925451</v>
      </c>
      <c r="AK52" s="2" t="s">
        <v>59</v>
      </c>
      <c r="AL52" s="43">
        <f t="shared" si="13"/>
        <v>9.433962264150943E-3</v>
      </c>
      <c r="AM52" s="17">
        <f t="shared" si="14"/>
        <v>180.09244639197721</v>
      </c>
      <c r="AR52" s="2" t="s">
        <v>59</v>
      </c>
      <c r="AS52" s="46">
        <f t="shared" si="17"/>
        <v>9.433962264150943E-3</v>
      </c>
      <c r="AT52" s="17">
        <f t="shared" si="18"/>
        <v>75.27171370085388</v>
      </c>
    </row>
    <row r="53" spans="2:46" x14ac:dyDescent="0.35">
      <c r="B53" s="2" t="s">
        <v>42</v>
      </c>
      <c r="C53" s="36">
        <v>0.02</v>
      </c>
      <c r="D53" s="17">
        <f t="shared" si="3"/>
        <v>261.37900118077931</v>
      </c>
      <c r="I53" s="2" t="s">
        <v>42</v>
      </c>
      <c r="J53" s="42">
        <v>0.01</v>
      </c>
      <c r="K53" s="17">
        <f t="shared" si="22"/>
        <v>91.982084876018163</v>
      </c>
      <c r="P53" s="2" t="s">
        <v>42</v>
      </c>
      <c r="Q53" s="14">
        <v>1.1320754716981131E-2</v>
      </c>
      <c r="R53" s="17">
        <f t="shared" si="5"/>
        <v>160.57965589515499</v>
      </c>
      <c r="W53" s="2" t="s">
        <v>42</v>
      </c>
      <c r="X53" s="39">
        <f t="shared" si="7"/>
        <v>5.6603773584905656E-3</v>
      </c>
      <c r="Y53" s="17">
        <f t="shared" si="8"/>
        <v>122.52158296173586</v>
      </c>
      <c r="AD53" s="2" t="s">
        <v>42</v>
      </c>
      <c r="AE53" s="44">
        <f t="shared" si="11"/>
        <v>5.6603773584905656E-3</v>
      </c>
      <c r="AF53" s="17">
        <f t="shared" si="12"/>
        <v>59.069382905925451</v>
      </c>
      <c r="AK53" s="2" t="s">
        <v>42</v>
      </c>
      <c r="AL53" s="43">
        <f t="shared" si="13"/>
        <v>9.433962264150943E-3</v>
      </c>
      <c r="AM53" s="17">
        <f t="shared" si="14"/>
        <v>180.09244639197721</v>
      </c>
      <c r="AR53" s="2" t="s">
        <v>42</v>
      </c>
      <c r="AS53" s="46">
        <f t="shared" si="17"/>
        <v>9.433962264150943E-3</v>
      </c>
      <c r="AT53" s="17">
        <f t="shared" si="18"/>
        <v>75.27171370085388</v>
      </c>
    </row>
    <row r="54" spans="2:46" x14ac:dyDescent="0.35">
      <c r="B54" s="2" t="s">
        <v>37</v>
      </c>
      <c r="C54" s="36">
        <v>0.02</v>
      </c>
      <c r="D54" s="17">
        <f t="shared" si="3"/>
        <v>261.37900118077931</v>
      </c>
      <c r="I54" s="2" t="s">
        <v>37</v>
      </c>
      <c r="J54" s="42">
        <v>0.01</v>
      </c>
      <c r="K54" s="17">
        <f t="shared" si="22"/>
        <v>91.982084876018163</v>
      </c>
      <c r="P54" s="2" t="s">
        <v>37</v>
      </c>
      <c r="Q54" s="14">
        <v>1.1320754716981131E-2</v>
      </c>
      <c r="R54" s="17">
        <f t="shared" si="5"/>
        <v>160.57965589515499</v>
      </c>
      <c r="W54" s="2" t="s">
        <v>37</v>
      </c>
      <c r="X54" s="39">
        <f t="shared" si="7"/>
        <v>5.6603773584905656E-3</v>
      </c>
      <c r="Y54" s="17">
        <f t="shared" si="8"/>
        <v>122.52158296173586</v>
      </c>
      <c r="AD54" s="2" t="s">
        <v>37</v>
      </c>
      <c r="AE54" s="44">
        <f t="shared" si="11"/>
        <v>5.6603773584905656E-3</v>
      </c>
      <c r="AF54" s="17">
        <f t="shared" si="12"/>
        <v>59.069382905925451</v>
      </c>
      <c r="AK54" s="2" t="s">
        <v>37</v>
      </c>
      <c r="AL54" s="43">
        <f t="shared" si="13"/>
        <v>9.433962264150943E-3</v>
      </c>
      <c r="AM54" s="17">
        <f t="shared" si="14"/>
        <v>180.09244639197721</v>
      </c>
      <c r="AR54" s="2" t="s">
        <v>37</v>
      </c>
      <c r="AS54" s="46">
        <f t="shared" si="17"/>
        <v>9.433962264150943E-3</v>
      </c>
      <c r="AT54" s="17">
        <f t="shared" si="18"/>
        <v>75.27171370085388</v>
      </c>
    </row>
    <row r="55" spans="2:46" x14ac:dyDescent="0.35">
      <c r="B55" s="2" t="s">
        <v>16</v>
      </c>
      <c r="C55" s="36">
        <v>0.02</v>
      </c>
      <c r="D55" s="17">
        <f t="shared" si="3"/>
        <v>261.37900118077931</v>
      </c>
      <c r="I55" s="2" t="s">
        <v>16</v>
      </c>
      <c r="J55" s="42">
        <v>0.01</v>
      </c>
      <c r="K55" s="17">
        <f t="shared" si="22"/>
        <v>91.982084876018163</v>
      </c>
      <c r="P55" s="2" t="s">
        <v>16</v>
      </c>
      <c r="Q55" s="14">
        <v>1.1320754716981131E-2</v>
      </c>
      <c r="R55" s="17">
        <f t="shared" si="5"/>
        <v>160.57965589515499</v>
      </c>
      <c r="W55" s="2" t="s">
        <v>16</v>
      </c>
      <c r="X55" s="39">
        <f t="shared" si="7"/>
        <v>5.6603773584905656E-3</v>
      </c>
      <c r="Y55" s="17">
        <f t="shared" si="8"/>
        <v>122.52158296173586</v>
      </c>
      <c r="AD55" s="2" t="s">
        <v>16</v>
      </c>
      <c r="AE55" s="44">
        <f t="shared" si="11"/>
        <v>5.6603773584905656E-3</v>
      </c>
      <c r="AF55" s="17">
        <f t="shared" si="12"/>
        <v>59.069382905925451</v>
      </c>
      <c r="AK55" s="2" t="s">
        <v>16</v>
      </c>
      <c r="AL55" s="43">
        <f t="shared" si="13"/>
        <v>9.433962264150943E-3</v>
      </c>
      <c r="AM55" s="17">
        <f t="shared" si="14"/>
        <v>180.09244639197721</v>
      </c>
      <c r="AR55" s="2" t="s">
        <v>16</v>
      </c>
      <c r="AS55" s="46">
        <f t="shared" si="17"/>
        <v>9.433962264150943E-3</v>
      </c>
      <c r="AT55" s="17">
        <f t="shared" si="18"/>
        <v>75.27171370085388</v>
      </c>
    </row>
    <row r="56" spans="2:46" x14ac:dyDescent="0.35">
      <c r="B56" s="2" t="s">
        <v>55</v>
      </c>
      <c r="C56" s="36">
        <v>0.02</v>
      </c>
      <c r="D56" s="17">
        <f t="shared" si="3"/>
        <v>261.37900118077931</v>
      </c>
      <c r="I56" s="2" t="s">
        <v>55</v>
      </c>
      <c r="J56" s="42">
        <v>0.01</v>
      </c>
      <c r="K56" s="17">
        <f t="shared" si="22"/>
        <v>91.982084876018163</v>
      </c>
      <c r="P56" s="2" t="s">
        <v>55</v>
      </c>
      <c r="Q56" s="14">
        <v>1.1320754716981131E-2</v>
      </c>
      <c r="R56" s="17">
        <f t="shared" si="5"/>
        <v>160.57965589515499</v>
      </c>
      <c r="W56" s="2" t="s">
        <v>55</v>
      </c>
      <c r="X56" s="39">
        <f t="shared" si="7"/>
        <v>5.6603773584905656E-3</v>
      </c>
      <c r="Y56" s="17">
        <f t="shared" si="8"/>
        <v>122.52158296173586</v>
      </c>
      <c r="AD56" s="2" t="s">
        <v>55</v>
      </c>
      <c r="AE56" s="44">
        <f t="shared" si="11"/>
        <v>5.6603773584905656E-3</v>
      </c>
      <c r="AF56" s="17">
        <f t="shared" si="12"/>
        <v>59.069382905925451</v>
      </c>
      <c r="AK56" s="2" t="s">
        <v>55</v>
      </c>
      <c r="AL56" s="43">
        <f t="shared" si="13"/>
        <v>9.433962264150943E-3</v>
      </c>
      <c r="AM56" s="17">
        <f t="shared" si="14"/>
        <v>180.09244639197721</v>
      </c>
      <c r="AR56" s="2" t="s">
        <v>55</v>
      </c>
      <c r="AS56" s="46">
        <f t="shared" si="17"/>
        <v>9.433962264150943E-3</v>
      </c>
      <c r="AT56" s="17">
        <f t="shared" si="18"/>
        <v>75.27171370085388</v>
      </c>
    </row>
    <row r="57" spans="2:46" x14ac:dyDescent="0.35">
      <c r="D57" s="10"/>
      <c r="K57" s="10">
        <f>SUM(K4:K56)</f>
        <v>9198.2084876018125</v>
      </c>
      <c r="Q57" s="187">
        <f>SUM(Q4:Q56)</f>
        <v>0.619988679245283</v>
      </c>
      <c r="R57" s="10">
        <f>SUM(R4:R56)</f>
        <v>8794.2519082020972</v>
      </c>
    </row>
  </sheetData>
  <mergeCells count="7">
    <mergeCell ref="AR2:AW2"/>
    <mergeCell ref="AK2:AP2"/>
    <mergeCell ref="B2:G2"/>
    <mergeCell ref="I2:N2"/>
    <mergeCell ref="P2:U2"/>
    <mergeCell ref="W2:AB2"/>
    <mergeCell ref="AD2:AI2"/>
  </mergeCells>
  <conditionalFormatting sqref="B1:B1048576 E1:E1048576">
    <cfRule type="duplicateValues" dxfId="44" priority="4"/>
    <cfRule type="duplicateValues" dxfId="43" priority="6"/>
    <cfRule type="duplicateValues" dxfId="42" priority="7"/>
  </conditionalFormatting>
  <conditionalFormatting sqref="B1:B1048576">
    <cfRule type="duplicateValues" dxfId="41" priority="23"/>
  </conditionalFormatting>
  <conditionalFormatting sqref="E1:E1048576">
    <cfRule type="duplicateValues" dxfId="40" priority="22"/>
  </conditionalFormatting>
  <conditionalFormatting sqref="I1:I1048576 L1:L1048576">
    <cfRule type="duplicateValues" dxfId="39" priority="8"/>
  </conditionalFormatting>
  <conditionalFormatting sqref="I1:I1048576">
    <cfRule type="duplicateValues" dxfId="38" priority="21"/>
  </conditionalFormatting>
  <conditionalFormatting sqref="L1:L1048576">
    <cfRule type="duplicateValues" dxfId="37" priority="20"/>
  </conditionalFormatting>
  <conditionalFormatting sqref="P1:P1048576 S1:S1048576">
    <cfRule type="duplicateValues" dxfId="36" priority="9"/>
  </conditionalFormatting>
  <conditionalFormatting sqref="P1:P1048576">
    <cfRule type="duplicateValues" dxfId="35" priority="19"/>
  </conditionalFormatting>
  <conditionalFormatting sqref="S1:S1048576">
    <cfRule type="duplicateValues" dxfId="34" priority="17"/>
    <cfRule type="duplicateValues" dxfId="33" priority="18"/>
  </conditionalFormatting>
  <conditionalFormatting sqref="W1:W1048576 Z1:Z1048576">
    <cfRule type="duplicateValues" dxfId="32" priority="10"/>
    <cfRule type="duplicateValues" dxfId="31" priority="3"/>
  </conditionalFormatting>
  <conditionalFormatting sqref="W1:W1048576">
    <cfRule type="duplicateValues" dxfId="30" priority="16"/>
  </conditionalFormatting>
  <conditionalFormatting sqref="Z1:Z1048576">
    <cfRule type="duplicateValues" dxfId="29" priority="15"/>
  </conditionalFormatting>
  <conditionalFormatting sqref="AD1:AD1048576 AG1:AG1048576">
    <cfRule type="duplicateValues" dxfId="28" priority="11"/>
    <cfRule type="duplicateValues" dxfId="27" priority="2"/>
  </conditionalFormatting>
  <conditionalFormatting sqref="AD1:AD1048576">
    <cfRule type="duplicateValues" dxfId="26" priority="14"/>
  </conditionalFormatting>
  <conditionalFormatting sqref="AG1:AG1048576">
    <cfRule type="duplicateValues" dxfId="25" priority="13"/>
  </conditionalFormatting>
  <conditionalFormatting sqref="AK1:AK1048576 AN1:AN1048576">
    <cfRule type="duplicateValues" dxfId="24" priority="12"/>
  </conditionalFormatting>
  <conditionalFormatting sqref="AR1:AR1048576 AU1:AU1048576">
    <cfRule type="duplicateValues" dxfId="0" priority="5"/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39A7-83C9-4F32-B963-89B2708336B7}">
  <dimension ref="F1:P44"/>
  <sheetViews>
    <sheetView workbookViewId="0">
      <selection activeCell="P1" sqref="P1:P38"/>
    </sheetView>
  </sheetViews>
  <sheetFormatPr defaultRowHeight="14.5" x14ac:dyDescent="0.35"/>
  <sheetData>
    <row r="1" spans="6:16" x14ac:dyDescent="0.35">
      <c r="F1" s="2" t="s">
        <v>44</v>
      </c>
      <c r="I1" s="2" t="s">
        <v>87</v>
      </c>
      <c r="L1" s="16" t="s">
        <v>1</v>
      </c>
      <c r="N1" s="16" t="s">
        <v>1</v>
      </c>
      <c r="P1" s="16" t="s">
        <v>1</v>
      </c>
    </row>
    <row r="2" spans="6:16" x14ac:dyDescent="0.35">
      <c r="F2" s="2" t="s">
        <v>113</v>
      </c>
      <c r="I2" s="2" t="s">
        <v>79</v>
      </c>
      <c r="L2" s="2" t="s">
        <v>6</v>
      </c>
      <c r="N2" s="2" t="s">
        <v>113</v>
      </c>
      <c r="P2" s="2" t="s">
        <v>113</v>
      </c>
    </row>
    <row r="3" spans="6:16" x14ac:dyDescent="0.35">
      <c r="F3" s="2" t="s">
        <v>45</v>
      </c>
      <c r="I3" s="2" t="s">
        <v>58</v>
      </c>
      <c r="L3" s="2" t="s">
        <v>66</v>
      </c>
      <c r="N3" s="2" t="s">
        <v>6</v>
      </c>
      <c r="P3" s="2" t="s">
        <v>6</v>
      </c>
    </row>
    <row r="4" spans="6:16" x14ac:dyDescent="0.35">
      <c r="F4" s="2" t="s">
        <v>106</v>
      </c>
      <c r="I4" s="2" t="s">
        <v>91</v>
      </c>
      <c r="L4" s="2" t="s">
        <v>67</v>
      </c>
      <c r="N4" s="2" t="s">
        <v>66</v>
      </c>
      <c r="P4" s="2" t="s">
        <v>79</v>
      </c>
    </row>
    <row r="5" spans="6:16" x14ac:dyDescent="0.35">
      <c r="F5" s="3" t="s">
        <v>112</v>
      </c>
      <c r="I5" s="2" t="s">
        <v>89</v>
      </c>
      <c r="L5" s="2" t="s">
        <v>3</v>
      </c>
      <c r="N5" s="2" t="s">
        <v>67</v>
      </c>
      <c r="P5" s="2" t="s">
        <v>106</v>
      </c>
    </row>
    <row r="6" spans="6:16" x14ac:dyDescent="0.35">
      <c r="F6" s="2" t="s">
        <v>122</v>
      </c>
      <c r="I6" s="2" t="s">
        <v>92</v>
      </c>
      <c r="L6" s="2" t="s">
        <v>103</v>
      </c>
      <c r="N6" s="2" t="s">
        <v>106</v>
      </c>
      <c r="P6" s="2" t="s">
        <v>112</v>
      </c>
    </row>
    <row r="7" spans="6:16" x14ac:dyDescent="0.35">
      <c r="F7" s="2" t="s">
        <v>108</v>
      </c>
      <c r="I7" s="2" t="s">
        <v>60</v>
      </c>
      <c r="L7" s="2" t="s">
        <v>74</v>
      </c>
      <c r="N7" s="2" t="s">
        <v>112</v>
      </c>
      <c r="P7" s="2" t="s">
        <v>126</v>
      </c>
    </row>
    <row r="8" spans="6:16" x14ac:dyDescent="0.35">
      <c r="F8" s="2" t="s">
        <v>114</v>
      </c>
      <c r="I8" s="2" t="s">
        <v>61</v>
      </c>
      <c r="L8" s="2" t="s">
        <v>65</v>
      </c>
      <c r="N8" s="2" t="s">
        <v>126</v>
      </c>
      <c r="P8" s="2" t="s">
        <v>127</v>
      </c>
    </row>
    <row r="9" spans="6:16" x14ac:dyDescent="0.35">
      <c r="F9" s="2" t="s">
        <v>111</v>
      </c>
      <c r="I9" s="2" t="s">
        <v>224</v>
      </c>
      <c r="L9" s="2" t="s">
        <v>10</v>
      </c>
      <c r="N9" s="2" t="s">
        <v>127</v>
      </c>
      <c r="P9" s="2" t="s">
        <v>3</v>
      </c>
    </row>
    <row r="10" spans="6:16" x14ac:dyDescent="0.35">
      <c r="F10" s="2" t="s">
        <v>48</v>
      </c>
      <c r="I10" s="2" t="s">
        <v>96</v>
      </c>
      <c r="L10" s="2" t="s">
        <v>223</v>
      </c>
      <c r="N10" s="2" t="s">
        <v>3</v>
      </c>
      <c r="P10" s="2" t="s">
        <v>103</v>
      </c>
    </row>
    <row r="11" spans="6:16" x14ac:dyDescent="0.35">
      <c r="F11" s="2" t="s">
        <v>110</v>
      </c>
      <c r="I11" s="2" t="s">
        <v>56</v>
      </c>
      <c r="L11" s="2" t="s">
        <v>2</v>
      </c>
      <c r="N11" s="2" t="s">
        <v>103</v>
      </c>
      <c r="P11" s="2" t="s">
        <v>223</v>
      </c>
    </row>
    <row r="12" spans="6:16" x14ac:dyDescent="0.35">
      <c r="F12" s="2" t="s">
        <v>47</v>
      </c>
      <c r="I12" s="2" t="s">
        <v>94</v>
      </c>
      <c r="L12" s="2" t="s">
        <v>9</v>
      </c>
      <c r="N12" s="2" t="s">
        <v>74</v>
      </c>
      <c r="P12" s="2" t="s">
        <v>2</v>
      </c>
    </row>
    <row r="13" spans="6:16" x14ac:dyDescent="0.35">
      <c r="F13" s="2" t="s">
        <v>105</v>
      </c>
      <c r="I13" s="2" t="s">
        <v>83</v>
      </c>
      <c r="L13" s="2" t="s">
        <v>68</v>
      </c>
      <c r="N13" s="2" t="s">
        <v>65</v>
      </c>
      <c r="P13" s="2" t="s">
        <v>9</v>
      </c>
    </row>
    <row r="14" spans="6:16" x14ac:dyDescent="0.35">
      <c r="F14" s="2" t="s">
        <v>123</v>
      </c>
      <c r="I14" s="2" t="s">
        <v>102</v>
      </c>
      <c r="L14" s="2" t="s">
        <v>11</v>
      </c>
      <c r="N14" s="2" t="s">
        <v>10</v>
      </c>
      <c r="P14" s="2" t="s">
        <v>130</v>
      </c>
    </row>
    <row r="15" spans="6:16" x14ac:dyDescent="0.35">
      <c r="F15" s="2" t="s">
        <v>121</v>
      </c>
      <c r="I15" s="2" t="s">
        <v>100</v>
      </c>
      <c r="L15" s="2" t="s">
        <v>69</v>
      </c>
      <c r="N15" s="2" t="s">
        <v>223</v>
      </c>
      <c r="P15" s="2" t="s">
        <v>108</v>
      </c>
    </row>
    <row r="16" spans="6:16" x14ac:dyDescent="0.35">
      <c r="F16" s="2" t="s">
        <v>118</v>
      </c>
      <c r="I16" s="2" t="s">
        <v>90</v>
      </c>
      <c r="L16" s="2" t="s">
        <v>64</v>
      </c>
      <c r="N16" s="2" t="s">
        <v>2</v>
      </c>
      <c r="P16" s="2" t="s">
        <v>114</v>
      </c>
    </row>
    <row r="17" spans="6:16" x14ac:dyDescent="0.35">
      <c r="F17" s="2" t="s">
        <v>109</v>
      </c>
      <c r="I17" s="2" t="s">
        <v>98</v>
      </c>
      <c r="L17" s="2" t="s">
        <v>8</v>
      </c>
      <c r="N17" s="2" t="s">
        <v>9</v>
      </c>
      <c r="P17" s="2" t="s">
        <v>11</v>
      </c>
    </row>
    <row r="18" spans="6:16" x14ac:dyDescent="0.35">
      <c r="F18" s="2" t="s">
        <v>41</v>
      </c>
      <c r="I18" s="2" t="s">
        <v>78</v>
      </c>
      <c r="L18" s="2" t="s">
        <v>7</v>
      </c>
      <c r="N18" s="2" t="s">
        <v>130</v>
      </c>
      <c r="P18" s="2" t="s">
        <v>64</v>
      </c>
    </row>
    <row r="19" spans="6:16" x14ac:dyDescent="0.35">
      <c r="F19" s="2" t="s">
        <v>116</v>
      </c>
      <c r="I19" s="2" t="s">
        <v>78</v>
      </c>
      <c r="L19" s="2" t="s">
        <v>225</v>
      </c>
      <c r="N19" s="2" t="s">
        <v>108</v>
      </c>
      <c r="P19" s="2" t="s">
        <v>8</v>
      </c>
    </row>
    <row r="20" spans="6:16" x14ac:dyDescent="0.35">
      <c r="F20" s="2" t="s">
        <v>0</v>
      </c>
      <c r="I20" s="2" t="s">
        <v>101</v>
      </c>
      <c r="L20" s="2" t="s">
        <v>73</v>
      </c>
      <c r="N20" s="2" t="s">
        <v>114</v>
      </c>
      <c r="P20" s="2" t="s">
        <v>128</v>
      </c>
    </row>
    <row r="21" spans="6:16" x14ac:dyDescent="0.35">
      <c r="F21" s="2" t="s">
        <v>119</v>
      </c>
      <c r="I21" s="2" t="s">
        <v>86</v>
      </c>
      <c r="L21" s="2" t="s">
        <v>4</v>
      </c>
      <c r="N21" s="2" t="s">
        <v>68</v>
      </c>
      <c r="P21" s="2" t="s">
        <v>111</v>
      </c>
    </row>
    <row r="22" spans="6:16" x14ac:dyDescent="0.35">
      <c r="F22" s="2" t="s">
        <v>120</v>
      </c>
      <c r="I22" s="2" t="s">
        <v>95</v>
      </c>
      <c r="N22" s="2" t="s">
        <v>11</v>
      </c>
      <c r="P22" s="2" t="s">
        <v>7</v>
      </c>
    </row>
    <row r="23" spans="6:16" x14ac:dyDescent="0.35">
      <c r="F23" s="2" t="s">
        <v>107</v>
      </c>
      <c r="I23" s="2" t="s">
        <v>80</v>
      </c>
      <c r="N23" s="2" t="s">
        <v>69</v>
      </c>
      <c r="P23" s="2" t="s">
        <v>110</v>
      </c>
    </row>
    <row r="24" spans="6:16" x14ac:dyDescent="0.35">
      <c r="F24" s="2" t="s">
        <v>115</v>
      </c>
      <c r="I24" s="2" t="s">
        <v>88</v>
      </c>
      <c r="N24" s="2" t="s">
        <v>64</v>
      </c>
      <c r="P24" s="2" t="s">
        <v>47</v>
      </c>
    </row>
    <row r="25" spans="6:16" x14ac:dyDescent="0.35">
      <c r="F25" s="2" t="s">
        <v>117</v>
      </c>
      <c r="I25" s="2" t="s">
        <v>97</v>
      </c>
      <c r="N25" s="2" t="s">
        <v>8</v>
      </c>
      <c r="P25" s="2" t="s">
        <v>105</v>
      </c>
    </row>
    <row r="26" spans="6:16" x14ac:dyDescent="0.35">
      <c r="I26" s="2" t="s">
        <v>84</v>
      </c>
      <c r="N26" s="2" t="s">
        <v>128</v>
      </c>
      <c r="P26" s="2" t="s">
        <v>109</v>
      </c>
    </row>
    <row r="27" spans="6:16" x14ac:dyDescent="0.35">
      <c r="I27" s="2" t="s">
        <v>82</v>
      </c>
      <c r="N27" s="2" t="s">
        <v>111</v>
      </c>
      <c r="P27" s="2" t="s">
        <v>116</v>
      </c>
    </row>
    <row r="28" spans="6:16" x14ac:dyDescent="0.35">
      <c r="I28" s="2" t="s">
        <v>82</v>
      </c>
      <c r="N28" s="2" t="s">
        <v>7</v>
      </c>
      <c r="P28" s="2" t="s">
        <v>78</v>
      </c>
    </row>
    <row r="29" spans="6:16" x14ac:dyDescent="0.35">
      <c r="I29" s="2" t="s">
        <v>77</v>
      </c>
      <c r="N29" s="2" t="s">
        <v>110</v>
      </c>
      <c r="P29" s="2" t="s">
        <v>125</v>
      </c>
    </row>
    <row r="30" spans="6:16" x14ac:dyDescent="0.35">
      <c r="I30" s="2" t="s">
        <v>75</v>
      </c>
      <c r="N30" s="2" t="s">
        <v>105</v>
      </c>
      <c r="P30" s="2" t="s">
        <v>225</v>
      </c>
    </row>
    <row r="31" spans="6:16" x14ac:dyDescent="0.35">
      <c r="I31" s="2" t="s">
        <v>76</v>
      </c>
      <c r="N31" s="2" t="s">
        <v>109</v>
      </c>
      <c r="P31" s="2" t="s">
        <v>80</v>
      </c>
    </row>
    <row r="32" spans="6:16" x14ac:dyDescent="0.35">
      <c r="I32" s="2" t="s">
        <v>93</v>
      </c>
      <c r="N32" s="2" t="s">
        <v>78</v>
      </c>
      <c r="P32" s="2" t="s">
        <v>0</v>
      </c>
    </row>
    <row r="33" spans="9:16" x14ac:dyDescent="0.35">
      <c r="I33" s="2" t="s">
        <v>99</v>
      </c>
      <c r="N33" s="2" t="s">
        <v>125</v>
      </c>
      <c r="P33" s="2" t="s">
        <v>77</v>
      </c>
    </row>
    <row r="34" spans="9:16" x14ac:dyDescent="0.35">
      <c r="I34" s="2" t="s">
        <v>81</v>
      </c>
      <c r="N34" s="2" t="s">
        <v>225</v>
      </c>
      <c r="P34" s="2" t="s">
        <v>75</v>
      </c>
    </row>
    <row r="35" spans="9:16" x14ac:dyDescent="0.35">
      <c r="I35" s="2" t="s">
        <v>55</v>
      </c>
      <c r="N35" s="2" t="s">
        <v>80</v>
      </c>
      <c r="P35" s="2" t="s">
        <v>76</v>
      </c>
    </row>
    <row r="36" spans="9:16" x14ac:dyDescent="0.35">
      <c r="N36" s="2" t="s">
        <v>0</v>
      </c>
      <c r="P36" s="2" t="s">
        <v>107</v>
      </c>
    </row>
    <row r="37" spans="9:16" x14ac:dyDescent="0.35">
      <c r="N37" s="2" t="s">
        <v>77</v>
      </c>
      <c r="P37" s="2" t="s">
        <v>129</v>
      </c>
    </row>
    <row r="38" spans="9:16" x14ac:dyDescent="0.35">
      <c r="N38" s="2" t="s">
        <v>75</v>
      </c>
      <c r="P38" s="2" t="s">
        <v>4</v>
      </c>
    </row>
    <row r="39" spans="9:16" x14ac:dyDescent="0.35">
      <c r="N39" s="2" t="s">
        <v>76</v>
      </c>
    </row>
    <row r="40" spans="9:16" x14ac:dyDescent="0.35">
      <c r="N40" s="2" t="s">
        <v>107</v>
      </c>
    </row>
    <row r="41" spans="9:16" x14ac:dyDescent="0.35">
      <c r="N41" s="2" t="s">
        <v>129</v>
      </c>
    </row>
    <row r="42" spans="9:16" x14ac:dyDescent="0.35">
      <c r="N42" s="2" t="s">
        <v>73</v>
      </c>
    </row>
    <row r="43" spans="9:16" x14ac:dyDescent="0.35">
      <c r="N43" s="2" t="s">
        <v>4</v>
      </c>
    </row>
    <row r="44" spans="9:16" x14ac:dyDescent="0.35">
      <c r="N44" s="2" t="s">
        <v>115</v>
      </c>
    </row>
  </sheetData>
  <sortState xmlns:xlrd2="http://schemas.microsoft.com/office/spreadsheetml/2017/richdata2" ref="P2:P38">
    <sortCondition ref="P1:P3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B5EA-6D0A-4FDB-A11C-275AA671DB05}">
  <sheetPr>
    <tabColor rgb="FFEFEFFF"/>
  </sheetPr>
  <dimension ref="A2:AE17"/>
  <sheetViews>
    <sheetView showGridLines="0" topLeftCell="H1" zoomScale="78" zoomScaleNormal="78" workbookViewId="0">
      <selection activeCell="AE1" sqref="O1:AE1048576"/>
    </sheetView>
  </sheetViews>
  <sheetFormatPr defaultRowHeight="14.5" x14ac:dyDescent="0.35"/>
  <cols>
    <col min="1" max="1" width="19.26953125" hidden="1" customWidth="1"/>
    <col min="2" max="2" width="9.7265625" hidden="1" customWidth="1"/>
    <col min="3" max="3" width="13.1796875" hidden="1" customWidth="1"/>
    <col min="4" max="4" width="9.7265625" hidden="1" customWidth="1"/>
    <col min="5" max="5" width="10.7265625" hidden="1" customWidth="1"/>
    <col min="6" max="6" width="6.6328125" hidden="1" customWidth="1"/>
    <col min="7" max="7" width="5.90625" hidden="1" customWidth="1"/>
    <col min="8" max="8" width="29.54296875" customWidth="1"/>
    <col min="9" max="9" width="12.90625" customWidth="1"/>
    <col min="10" max="10" width="11.90625" customWidth="1"/>
    <col min="11" max="11" width="11.1796875" bestFit="1" customWidth="1"/>
    <col min="12" max="12" width="11.90625" customWidth="1"/>
    <col min="13" max="13" width="12.1796875" customWidth="1"/>
    <col min="14" max="14" width="3.36328125" customWidth="1"/>
    <col min="15" max="15" width="11.7265625" hidden="1" customWidth="1"/>
    <col min="16" max="16" width="11.26953125" hidden="1" customWidth="1"/>
    <col min="17" max="17" width="9.08984375" hidden="1" customWidth="1"/>
    <col min="18" max="19" width="10.453125" hidden="1" customWidth="1"/>
    <col min="20" max="20" width="3.26953125" hidden="1" customWidth="1"/>
    <col min="21" max="21" width="13.81640625" hidden="1" customWidth="1"/>
    <col min="22" max="22" width="11.26953125" hidden="1" customWidth="1"/>
    <col min="23" max="23" width="9.08984375" hidden="1" customWidth="1"/>
    <col min="24" max="25" width="10.453125" hidden="1" customWidth="1"/>
    <col min="26" max="26" width="3.36328125" hidden="1" customWidth="1"/>
    <col min="27" max="27" width="13.81640625" hidden="1" customWidth="1"/>
    <col min="28" max="28" width="11.26953125" hidden="1" customWidth="1"/>
    <col min="29" max="29" width="9.08984375" hidden="1" customWidth="1"/>
    <col min="30" max="30" width="10.453125" hidden="1" customWidth="1"/>
    <col min="31" max="31" width="13.36328125" hidden="1" customWidth="1"/>
  </cols>
  <sheetData>
    <row r="2" spans="1:31" ht="15" thickBot="1" x14ac:dyDescent="0.4">
      <c r="A2" t="s">
        <v>179</v>
      </c>
    </row>
    <row r="3" spans="1:31" ht="15" thickBot="1" x14ac:dyDescent="0.4">
      <c r="A3" s="4"/>
      <c r="B3" s="4" t="s">
        <v>133</v>
      </c>
      <c r="C3" s="4" t="s">
        <v>134</v>
      </c>
      <c r="D3" s="4"/>
      <c r="E3" s="4"/>
      <c r="F3" s="4"/>
      <c r="G3" s="4"/>
      <c r="J3" s="209" t="s">
        <v>215</v>
      </c>
      <c r="K3" s="210"/>
      <c r="L3" s="210"/>
      <c r="M3" s="211"/>
      <c r="S3" s="103" t="s">
        <v>180</v>
      </c>
      <c r="Y3" s="103" t="s">
        <v>180</v>
      </c>
      <c r="AE3" s="103" t="s">
        <v>180</v>
      </c>
    </row>
    <row r="4" spans="1:31" ht="15" thickBot="1" x14ac:dyDescent="0.4">
      <c r="A4" s="4"/>
      <c r="B4" s="4" t="s">
        <v>135</v>
      </c>
      <c r="C4" s="4"/>
      <c r="D4" s="4" t="s">
        <v>136</v>
      </c>
      <c r="E4" s="4"/>
      <c r="F4" s="4"/>
      <c r="G4" s="4"/>
      <c r="J4" s="155">
        <f>'Revised Volume'!F12</f>
        <v>40628</v>
      </c>
      <c r="K4" s="155">
        <f>'Revised Volume'!G12</f>
        <v>37239</v>
      </c>
      <c r="L4" s="155">
        <f>'Revised Volume'!H12</f>
        <v>46536</v>
      </c>
      <c r="M4" s="155">
        <f>SUM(J4:L4)</f>
        <v>124403</v>
      </c>
      <c r="O4" s="109" t="s">
        <v>181</v>
      </c>
      <c r="P4" s="110">
        <v>40628</v>
      </c>
      <c r="Q4" s="110">
        <v>37239</v>
      </c>
      <c r="R4" s="110">
        <v>46536</v>
      </c>
      <c r="S4" s="114">
        <f>AVERAGE(SUM(P4:R4)/13)</f>
        <v>9569.461538461539</v>
      </c>
      <c r="U4" s="109" t="s">
        <v>186</v>
      </c>
      <c r="V4" s="110">
        <v>29127</v>
      </c>
      <c r="W4" s="110">
        <v>41155</v>
      </c>
      <c r="X4" s="110">
        <v>26448.226999999999</v>
      </c>
      <c r="Y4" s="114">
        <f>AVERAGE(SUM(V4:X4)/13)</f>
        <v>7440.7866923076926</v>
      </c>
      <c r="AA4" s="109" t="s">
        <v>188</v>
      </c>
      <c r="AB4" s="110">
        <v>36554</v>
      </c>
      <c r="AC4" s="110">
        <v>36390</v>
      </c>
      <c r="AD4" s="110">
        <v>45568</v>
      </c>
      <c r="AE4" s="114">
        <f>AVERAGE(SUM(AB4:AD4)/13)</f>
        <v>9116.3076923076915</v>
      </c>
    </row>
    <row r="5" spans="1:31" x14ac:dyDescent="0.35">
      <c r="A5" s="5" t="s">
        <v>137</v>
      </c>
      <c r="B5" s="5" t="s">
        <v>138</v>
      </c>
      <c r="C5" s="5" t="s">
        <v>139</v>
      </c>
      <c r="D5" s="5" t="s">
        <v>138</v>
      </c>
      <c r="E5" s="5" t="s">
        <v>139</v>
      </c>
      <c r="F5" s="4"/>
      <c r="G5" s="4"/>
      <c r="H5" s="156" t="s">
        <v>137</v>
      </c>
      <c r="I5" s="158" t="s">
        <v>216</v>
      </c>
      <c r="J5" s="150" t="s">
        <v>148</v>
      </c>
      <c r="K5" s="150" t="s">
        <v>149</v>
      </c>
      <c r="L5" s="150" t="s">
        <v>150</v>
      </c>
      <c r="M5" s="150" t="s">
        <v>151</v>
      </c>
      <c r="O5" s="9" t="s">
        <v>182</v>
      </c>
      <c r="P5" s="102">
        <f>($S$4/3)*13</f>
        <v>41467.666666666672</v>
      </c>
      <c r="Q5" s="102">
        <f t="shared" ref="Q5:R5" si="0">($S$4/3)*13</f>
        <v>41467.666666666672</v>
      </c>
      <c r="R5" s="102">
        <f t="shared" si="0"/>
        <v>41467.666666666672</v>
      </c>
      <c r="S5" s="115">
        <f>AVERAGE(SUM(P5:R5)/13)</f>
        <v>9569.461538461539</v>
      </c>
      <c r="U5" s="9" t="s">
        <v>182</v>
      </c>
      <c r="V5" s="102">
        <f>($Y$4/3)*13</f>
        <v>32243.409</v>
      </c>
      <c r="W5" s="102">
        <f t="shared" ref="W5:X5" si="1">($Y$4/3)*13</f>
        <v>32243.409</v>
      </c>
      <c r="X5" s="102">
        <f t="shared" si="1"/>
        <v>32243.409</v>
      </c>
      <c r="Y5" s="115">
        <f>AVERAGE(SUM(V5:X5)/13)</f>
        <v>7440.7866923076926</v>
      </c>
      <c r="AA5" s="9" t="s">
        <v>182</v>
      </c>
      <c r="AB5" s="102">
        <f>($AE$4/3)*13</f>
        <v>39504</v>
      </c>
      <c r="AC5" s="102">
        <f t="shared" ref="AC5:AD5" si="2">($AE$4/3)*13</f>
        <v>39504</v>
      </c>
      <c r="AD5" s="102">
        <f t="shared" si="2"/>
        <v>39504</v>
      </c>
      <c r="AE5" s="115">
        <f>AVERAGE(SUM(AB5:AD5)/13)</f>
        <v>9116.3076923076915</v>
      </c>
    </row>
    <row r="6" spans="1:31" x14ac:dyDescent="0.35">
      <c r="A6" t="s">
        <v>140</v>
      </c>
      <c r="B6" s="6">
        <v>21990.19743262971</v>
      </c>
      <c r="C6" s="6">
        <v>448042.53935310361</v>
      </c>
      <c r="D6" s="6">
        <v>26246</v>
      </c>
      <c r="E6" s="6">
        <v>568743.40555999987</v>
      </c>
      <c r="F6" s="6"/>
      <c r="G6" s="6"/>
      <c r="H6" s="27" t="s">
        <v>140</v>
      </c>
      <c r="I6" s="54">
        <f>D6/$D$12</f>
        <v>0.26263333800308203</v>
      </c>
      <c r="J6" s="151">
        <f>I6*$J$4</f>
        <v>10670.267256389217</v>
      </c>
      <c r="K6" s="151">
        <f>$K$4*I6</f>
        <v>9780.2028738967711</v>
      </c>
      <c r="L6" s="153">
        <f>$L$4*I6</f>
        <v>12221.905017311425</v>
      </c>
      <c r="M6" s="68">
        <f>SUM(J6:L6)</f>
        <v>32672.375147597413</v>
      </c>
      <c r="O6" s="104" t="s">
        <v>183</v>
      </c>
      <c r="P6" s="106">
        <f>P5*110%</f>
        <v>45614.433333333342</v>
      </c>
      <c r="Q6" s="106">
        <f>Q5*103%</f>
        <v>42711.69666666667</v>
      </c>
      <c r="R6" s="106">
        <f>R5*120%</f>
        <v>49761.200000000004</v>
      </c>
      <c r="S6" s="112">
        <f>AVERAGE(SUM(P6:R6)/13)</f>
        <v>10622.102307692308</v>
      </c>
      <c r="U6" s="104" t="s">
        <v>183</v>
      </c>
      <c r="V6" s="106">
        <f>V5*110%</f>
        <v>35467.749900000003</v>
      </c>
      <c r="W6" s="106">
        <f t="shared" ref="W6:X6" si="3">W5*110%</f>
        <v>35467.749900000003</v>
      </c>
      <c r="X6" s="106">
        <f t="shared" si="3"/>
        <v>35467.749900000003</v>
      </c>
      <c r="Y6" s="112">
        <f>AVERAGE(SUM(V6:X6)/13)</f>
        <v>8184.8653615384628</v>
      </c>
      <c r="AA6" s="104" t="s">
        <v>183</v>
      </c>
      <c r="AB6" s="106">
        <f>AB5*110%</f>
        <v>43454.400000000001</v>
      </c>
      <c r="AC6" s="106">
        <f t="shared" ref="AC6:AD6" si="4">AC5*110%</f>
        <v>43454.400000000001</v>
      </c>
      <c r="AD6" s="106">
        <f t="shared" si="4"/>
        <v>43454.400000000001</v>
      </c>
      <c r="AE6" s="112">
        <f>AVERAGE(SUM(AB6:AD6)/13)</f>
        <v>10027.938461538462</v>
      </c>
    </row>
    <row r="7" spans="1:31" x14ac:dyDescent="0.35">
      <c r="A7" t="s">
        <v>141</v>
      </c>
      <c r="B7" s="6">
        <v>12362.838218273042</v>
      </c>
      <c r="C7" s="6">
        <v>251888.46756357225</v>
      </c>
      <c r="D7" s="6">
        <v>17804</v>
      </c>
      <c r="E7" s="6">
        <v>383868.7294800001</v>
      </c>
      <c r="F7" s="6"/>
      <c r="G7" s="6"/>
      <c r="H7" s="27" t="s">
        <v>171</v>
      </c>
      <c r="I7" s="54">
        <f>D7/$D$12</f>
        <v>0.1781575840054436</v>
      </c>
      <c r="J7" s="151">
        <f>I7*$J$4</f>
        <v>7238.1863229731625</v>
      </c>
      <c r="K7" s="151">
        <f>$K$4*I7</f>
        <v>6634.4102707787142</v>
      </c>
      <c r="L7" s="153">
        <f>$L$4*I7</f>
        <v>8290.7413292773235</v>
      </c>
      <c r="M7" s="68">
        <f>SUM(J7:L7)-M8</f>
        <v>14184.53627073869</v>
      </c>
      <c r="O7" t="s">
        <v>184</v>
      </c>
      <c r="P7" s="105">
        <f>P6-P4</f>
        <v>4986.4333333333416</v>
      </c>
      <c r="Q7" s="105">
        <f t="shared" ref="Q7:R7" si="5">Q6-Q4</f>
        <v>5472.6966666666704</v>
      </c>
      <c r="R7" s="105">
        <f t="shared" si="5"/>
        <v>3225.2000000000044</v>
      </c>
      <c r="S7" s="111"/>
      <c r="U7" t="s">
        <v>187</v>
      </c>
      <c r="V7" s="105">
        <f>V6-V4</f>
        <v>6340.7499000000025</v>
      </c>
      <c r="W7" s="105">
        <f t="shared" ref="W7:X7" si="6">W6-W4</f>
        <v>-5687.2500999999975</v>
      </c>
      <c r="X7" s="105">
        <f t="shared" si="6"/>
        <v>9019.5229000000036</v>
      </c>
      <c r="Y7" s="112"/>
      <c r="AA7" t="s">
        <v>189</v>
      </c>
      <c r="AB7" s="105">
        <f>AB6-AB4</f>
        <v>6900.4000000000015</v>
      </c>
      <c r="AC7" s="105">
        <f t="shared" ref="AC7:AD7" si="7">AC6-AC4</f>
        <v>7064.4000000000015</v>
      </c>
      <c r="AD7" s="105">
        <f t="shared" si="7"/>
        <v>-2113.5999999999985</v>
      </c>
      <c r="AE7" s="111"/>
    </row>
    <row r="8" spans="1:31" x14ac:dyDescent="0.35">
      <c r="A8" t="s">
        <v>142</v>
      </c>
      <c r="B8" s="6">
        <v>14652.267471785482</v>
      </c>
      <c r="C8" s="6">
        <v>298563.7864490592</v>
      </c>
      <c r="D8" s="6">
        <v>14778</v>
      </c>
      <c r="E8" s="6">
        <v>317639.40912000003</v>
      </c>
      <c r="F8" s="6"/>
      <c r="G8" s="6"/>
      <c r="H8" s="49" t="s">
        <v>170</v>
      </c>
      <c r="I8" s="55">
        <v>0.36</v>
      </c>
      <c r="J8" s="152">
        <f>J7*36%</f>
        <v>2605.7470762703383</v>
      </c>
      <c r="K8" s="152">
        <f>K7*36%</f>
        <v>2388.387697480337</v>
      </c>
      <c r="L8" s="152">
        <f>L7*36%</f>
        <v>2984.6668785398365</v>
      </c>
      <c r="M8" s="65">
        <f>SUM(J8:L8)</f>
        <v>7978.8016522905109</v>
      </c>
      <c r="O8" s="108" t="s">
        <v>185</v>
      </c>
      <c r="P8" s="107">
        <f>(P6/P4)-1</f>
        <v>0.12273391093170583</v>
      </c>
      <c r="Q8" s="107">
        <f t="shared" ref="Q8:S8" si="8">(Q6/Q4)-1</f>
        <v>0.14696142932588607</v>
      </c>
      <c r="R8" s="107">
        <f t="shared" si="8"/>
        <v>6.9305483926422662E-2</v>
      </c>
      <c r="S8" s="113">
        <f t="shared" si="8"/>
        <v>0.1100000000000001</v>
      </c>
      <c r="U8" s="108" t="s">
        <v>185</v>
      </c>
      <c r="V8" s="107">
        <f>(V6/V4)-1</f>
        <v>0.21769320218354116</v>
      </c>
      <c r="W8" s="107">
        <f t="shared" ref="W8:Y8" si="9">(W6/W4)-1</f>
        <v>-0.13819098772931593</v>
      </c>
      <c r="X8" s="107">
        <f t="shared" si="9"/>
        <v>0.34102561581916269</v>
      </c>
      <c r="Y8" s="113">
        <f t="shared" si="9"/>
        <v>0.10000000000000009</v>
      </c>
      <c r="AA8" s="108" t="s">
        <v>185</v>
      </c>
      <c r="AB8" s="107">
        <f>(AB6/AB4)-1</f>
        <v>0.18877277452535979</v>
      </c>
      <c r="AC8" s="107">
        <f t="shared" ref="AC8:AE8" si="10">(AC6/AC4)-1</f>
        <v>0.19413025556471553</v>
      </c>
      <c r="AD8" s="107">
        <f t="shared" si="10"/>
        <v>-4.6383426966292052E-2</v>
      </c>
      <c r="AE8" s="113">
        <f t="shared" si="10"/>
        <v>0.10000000000000009</v>
      </c>
    </row>
    <row r="9" spans="1:31" x14ac:dyDescent="0.35">
      <c r="A9" t="s">
        <v>143</v>
      </c>
      <c r="B9" s="6">
        <v>8556.0582347132131</v>
      </c>
      <c r="C9" s="6">
        <v>174326.66828407708</v>
      </c>
      <c r="D9" s="6">
        <v>8383</v>
      </c>
      <c r="E9" s="6">
        <v>182710.48358</v>
      </c>
      <c r="F9" s="6"/>
      <c r="G9" s="6"/>
      <c r="H9" s="27" t="s">
        <v>142</v>
      </c>
      <c r="I9" s="54">
        <f>D8/$D$12</f>
        <v>0.14787759921548221</v>
      </c>
      <c r="J9" s="151">
        <f>I9*$J$4</f>
        <v>6007.9711009266111</v>
      </c>
      <c r="K9" s="151">
        <f>$K$4*I9</f>
        <v>5506.8139171853418</v>
      </c>
      <c r="L9" s="153">
        <f>$L$4*I9</f>
        <v>6881.6319570916803</v>
      </c>
      <c r="M9" s="68">
        <f t="shared" ref="M9:M12" si="11">SUM(J9:L9)</f>
        <v>18396.416975203632</v>
      </c>
    </row>
    <row r="10" spans="1:31" x14ac:dyDescent="0.35">
      <c r="A10" t="s">
        <v>144</v>
      </c>
      <c r="B10" s="6">
        <v>16928.145364162847</v>
      </c>
      <c r="C10" s="6">
        <v>344905.51837436645</v>
      </c>
      <c r="D10" s="6">
        <v>17388</v>
      </c>
      <c r="E10" s="6">
        <v>374798.66269999999</v>
      </c>
      <c r="F10" s="6"/>
      <c r="G10" s="6"/>
      <c r="H10" s="27" t="s">
        <v>143</v>
      </c>
      <c r="I10" s="54">
        <f>D9/$D$12</f>
        <v>8.3885364340464702E-2</v>
      </c>
      <c r="J10" s="151">
        <f>I10*$J$4</f>
        <v>3408.0945824244</v>
      </c>
      <c r="K10" s="151">
        <f>$K$4*I10</f>
        <v>3123.8070826745652</v>
      </c>
      <c r="L10" s="153">
        <f>$L$4*I10</f>
        <v>3903.6893149478656</v>
      </c>
      <c r="M10" s="68">
        <f t="shared" si="11"/>
        <v>10435.590980046831</v>
      </c>
    </row>
    <row r="11" spans="1:31" x14ac:dyDescent="0.35">
      <c r="A11" t="s">
        <v>145</v>
      </c>
      <c r="B11" s="6">
        <v>12388.513893169355</v>
      </c>
      <c r="C11" s="6">
        <v>252411.51620386526</v>
      </c>
      <c r="D11" s="6">
        <v>15335</v>
      </c>
      <c r="E11" s="6">
        <v>347478.84386999981</v>
      </c>
      <c r="F11" s="6"/>
      <c r="G11" s="6"/>
      <c r="H11" s="27" t="s">
        <v>144</v>
      </c>
      <c r="I11" s="54">
        <f>D10/$D$12</f>
        <v>0.17399483659215081</v>
      </c>
      <c r="J11" s="151">
        <f>I11*$J$4</f>
        <v>7069.062221065903</v>
      </c>
      <c r="K11" s="151">
        <f>$K$4*I11</f>
        <v>6479.3937198551039</v>
      </c>
      <c r="L11" s="153">
        <f>$L$4*I11</f>
        <v>8097.0237156523299</v>
      </c>
      <c r="M11" s="68">
        <f t="shared" si="11"/>
        <v>21645.479656573338</v>
      </c>
    </row>
    <row r="12" spans="1:31" x14ac:dyDescent="0.35">
      <c r="A12" s="7" t="s">
        <v>146</v>
      </c>
      <c r="B12" s="8">
        <v>86878.020614733643</v>
      </c>
      <c r="C12" s="8">
        <v>1770138.4962280439</v>
      </c>
      <c r="D12" s="8">
        <v>99934</v>
      </c>
      <c r="E12" s="8">
        <v>2175239.53431</v>
      </c>
      <c r="F12" s="13"/>
      <c r="G12" s="13"/>
      <c r="H12" s="27" t="s">
        <v>145</v>
      </c>
      <c r="I12" s="54">
        <f>D11/$D$12</f>
        <v>0.15345127784337662</v>
      </c>
      <c r="J12" s="151">
        <f>I12*$J$4</f>
        <v>6234.418516220705</v>
      </c>
      <c r="K12" s="151">
        <f>$K$4*I12</f>
        <v>5714.372135609502</v>
      </c>
      <c r="L12" s="153">
        <f>$L$4*I12</f>
        <v>7141.0086657193742</v>
      </c>
      <c r="M12" s="68">
        <f t="shared" si="11"/>
        <v>19089.799317549583</v>
      </c>
      <c r="R12" s="10"/>
      <c r="U12" s="10"/>
      <c r="V12" s="10"/>
      <c r="W12" s="10"/>
      <c r="X12" s="10"/>
    </row>
    <row r="13" spans="1:31" ht="15" thickBot="1" x14ac:dyDescent="0.4">
      <c r="H13" s="157"/>
      <c r="I13" s="159">
        <f>D12/$D$12</f>
        <v>1</v>
      </c>
      <c r="J13" s="74">
        <f>I13*$J$4</f>
        <v>40628</v>
      </c>
      <c r="K13" s="74">
        <f>$K$4*I13</f>
        <v>37239</v>
      </c>
      <c r="L13" s="154">
        <f>$L$4*I13</f>
        <v>46536</v>
      </c>
      <c r="M13" s="74">
        <f>SUM(J13:L13)</f>
        <v>124403</v>
      </c>
      <c r="V13" s="10"/>
      <c r="W13" s="10"/>
      <c r="X13" s="10"/>
    </row>
    <row r="17" spans="2:7" hidden="1" x14ac:dyDescent="0.35">
      <c r="B17" s="12">
        <v>14564.825999999999</v>
      </c>
      <c r="C17" s="12">
        <v>14564.84</v>
      </c>
      <c r="D17" s="12">
        <v>18206.163</v>
      </c>
      <c r="E17" s="6"/>
      <c r="F17" s="6"/>
      <c r="G17" s="6"/>
    </row>
  </sheetData>
  <mergeCells count="1">
    <mergeCell ref="J3:M3"/>
  </mergeCells>
  <phoneticPr fontId="4" type="noConversion"/>
  <pageMargins left="0.7" right="0.7" top="0.75" bottom="0.75" header="0.3" footer="0.3"/>
  <ignoredErrors>
    <ignoredError sqref="J8:L8 M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A08A-8003-4FEC-B764-E185EF9D87F2}">
  <sheetPr>
    <tabColor theme="4" tint="0.79998168889431442"/>
  </sheetPr>
  <dimension ref="B3:C16"/>
  <sheetViews>
    <sheetView showGridLines="0" zoomScale="87" zoomScaleNormal="87" workbookViewId="0">
      <selection activeCell="C7" sqref="C7"/>
    </sheetView>
  </sheetViews>
  <sheetFormatPr defaultRowHeight="14.5" x14ac:dyDescent="0.35"/>
  <cols>
    <col min="2" max="2" width="17.08984375" style="23" customWidth="1"/>
    <col min="3" max="3" width="12.1796875" customWidth="1"/>
  </cols>
  <sheetData>
    <row r="3" spans="2:3" x14ac:dyDescent="0.35">
      <c r="B3" s="96" t="s">
        <v>165</v>
      </c>
      <c r="C3" s="79" t="s">
        <v>166</v>
      </c>
    </row>
    <row r="4" spans="2:3" x14ac:dyDescent="0.35">
      <c r="B4" s="22" t="s">
        <v>152</v>
      </c>
      <c r="C4" s="21">
        <f>'By Region'!M6</f>
        <v>32672.375147597413</v>
      </c>
    </row>
    <row r="5" spans="2:3" x14ac:dyDescent="0.35">
      <c r="B5" s="22" t="s">
        <v>164</v>
      </c>
      <c r="C5" s="21">
        <f>'By Region'!M7</f>
        <v>14184.53627073869</v>
      </c>
    </row>
    <row r="6" spans="2:3" x14ac:dyDescent="0.35">
      <c r="B6" s="22" t="s">
        <v>156</v>
      </c>
      <c r="C6" s="21">
        <f>'By Region'!M12/3</f>
        <v>6363.2664391831941</v>
      </c>
    </row>
    <row r="7" spans="2:3" x14ac:dyDescent="0.35">
      <c r="B7" s="97" t="s">
        <v>161</v>
      </c>
      <c r="C7" s="98">
        <f>SUM(C4:C6)</f>
        <v>53220.177857519295</v>
      </c>
    </row>
    <row r="8" spans="2:3" x14ac:dyDescent="0.35">
      <c r="B8" s="22" t="s">
        <v>160</v>
      </c>
      <c r="C8" s="21">
        <f xml:space="preserve"> 'By Region'!M9</f>
        <v>18396.416975203632</v>
      </c>
    </row>
    <row r="9" spans="2:3" x14ac:dyDescent="0.35">
      <c r="B9" s="22" t="s">
        <v>158</v>
      </c>
      <c r="C9" s="21">
        <f>'By Region'!M8</f>
        <v>7978.8016522905109</v>
      </c>
    </row>
    <row r="10" spans="2:3" x14ac:dyDescent="0.35">
      <c r="B10" s="22" t="s">
        <v>156</v>
      </c>
      <c r="C10" s="21">
        <f>'By Region'!M12/3</f>
        <v>6363.2664391831941</v>
      </c>
    </row>
    <row r="11" spans="2:3" ht="15" customHeight="1" x14ac:dyDescent="0.35">
      <c r="B11" s="97" t="s">
        <v>162</v>
      </c>
      <c r="C11" s="98">
        <f>SUM(C8:C10)</f>
        <v>32738.485066677335</v>
      </c>
    </row>
    <row r="12" spans="2:3" x14ac:dyDescent="0.35">
      <c r="B12" s="22" t="s">
        <v>155</v>
      </c>
      <c r="C12" s="21">
        <f>'By Region'!M10</f>
        <v>10435.590980046831</v>
      </c>
    </row>
    <row r="13" spans="2:3" x14ac:dyDescent="0.35">
      <c r="B13" s="22" t="s">
        <v>159</v>
      </c>
      <c r="C13" s="21">
        <f>'By Region'!M11</f>
        <v>21645.479656573338</v>
      </c>
    </row>
    <row r="14" spans="2:3" x14ac:dyDescent="0.35">
      <c r="B14" s="22" t="s">
        <v>156</v>
      </c>
      <c r="C14" s="21">
        <f>'By Region'!M12/3</f>
        <v>6363.2664391831941</v>
      </c>
    </row>
    <row r="15" spans="2:3" x14ac:dyDescent="0.35">
      <c r="B15" s="97" t="s">
        <v>163</v>
      </c>
      <c r="C15" s="99">
        <f>SUM(C12:C14)</f>
        <v>38444.337075803363</v>
      </c>
    </row>
    <row r="16" spans="2:3" x14ac:dyDescent="0.35">
      <c r="B16" s="100"/>
      <c r="C16" s="101">
        <f>C7+C11+C15</f>
        <v>124403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4D0A-ADF5-4F54-A679-795D9D14DFD6}">
  <dimension ref="B2:F56"/>
  <sheetViews>
    <sheetView topLeftCell="A7" zoomScale="78" zoomScaleNormal="78" workbookViewId="0">
      <selection activeCell="I42" sqref="I42"/>
    </sheetView>
  </sheetViews>
  <sheetFormatPr defaultRowHeight="14.5" x14ac:dyDescent="0.35"/>
  <cols>
    <col min="2" max="2" width="16.1796875" bestFit="1" customWidth="1"/>
    <col min="3" max="3" width="16.7265625" customWidth="1"/>
    <col min="4" max="4" width="15.08984375" customWidth="1"/>
    <col min="5" max="5" width="16.6328125" customWidth="1"/>
  </cols>
  <sheetData>
    <row r="2" spans="2:6" x14ac:dyDescent="0.35">
      <c r="B2" s="1" t="s">
        <v>29</v>
      </c>
      <c r="C2" s="1" t="s">
        <v>30</v>
      </c>
      <c r="D2" s="1" t="s">
        <v>131</v>
      </c>
      <c r="E2" s="1" t="s">
        <v>104</v>
      </c>
      <c r="F2" s="1" t="s">
        <v>124</v>
      </c>
    </row>
    <row r="3" spans="2:6" x14ac:dyDescent="0.35">
      <c r="B3" s="2" t="s">
        <v>31</v>
      </c>
      <c r="C3" s="2" t="s">
        <v>1</v>
      </c>
      <c r="D3" s="2" t="s">
        <v>75</v>
      </c>
      <c r="E3" s="2" t="s">
        <v>105</v>
      </c>
      <c r="F3" s="2" t="s">
        <v>125</v>
      </c>
    </row>
    <row r="4" spans="2:6" x14ac:dyDescent="0.35">
      <c r="B4" s="2" t="s">
        <v>32</v>
      </c>
      <c r="C4" s="2" t="s">
        <v>2</v>
      </c>
      <c r="D4" s="2" t="s">
        <v>76</v>
      </c>
      <c r="E4" s="2" t="s">
        <v>0</v>
      </c>
      <c r="F4" s="2" t="s">
        <v>126</v>
      </c>
    </row>
    <row r="5" spans="2:6" x14ac:dyDescent="0.35">
      <c r="B5" s="2" t="s">
        <v>12</v>
      </c>
      <c r="C5" s="2" t="s">
        <v>3</v>
      </c>
      <c r="D5" s="2" t="s">
        <v>77</v>
      </c>
      <c r="E5" s="2" t="s">
        <v>106</v>
      </c>
      <c r="F5" s="2" t="s">
        <v>127</v>
      </c>
    </row>
    <row r="6" spans="2:6" x14ac:dyDescent="0.35">
      <c r="B6" s="2" t="s">
        <v>13</v>
      </c>
      <c r="C6" s="2" t="s">
        <v>4</v>
      </c>
      <c r="D6" s="2" t="s">
        <v>78</v>
      </c>
      <c r="E6" s="2" t="s">
        <v>46</v>
      </c>
      <c r="F6" s="2" t="s">
        <v>128</v>
      </c>
    </row>
    <row r="7" spans="2:6" x14ac:dyDescent="0.35">
      <c r="B7" s="2" t="s">
        <v>71</v>
      </c>
      <c r="C7" s="2" t="s">
        <v>73</v>
      </c>
      <c r="D7" s="2" t="s">
        <v>56</v>
      </c>
      <c r="E7" s="2" t="s">
        <v>38</v>
      </c>
      <c r="F7" s="2" t="s">
        <v>129</v>
      </c>
    </row>
    <row r="8" spans="2:6" x14ac:dyDescent="0.35">
      <c r="B8" s="2" t="s">
        <v>16</v>
      </c>
      <c r="C8" s="2" t="s">
        <v>5</v>
      </c>
      <c r="D8" s="2" t="s">
        <v>79</v>
      </c>
      <c r="E8" s="2" t="s">
        <v>107</v>
      </c>
      <c r="F8" s="2" t="s">
        <v>130</v>
      </c>
    </row>
    <row r="9" spans="2:6" x14ac:dyDescent="0.35">
      <c r="B9" s="2" t="s">
        <v>23</v>
      </c>
      <c r="C9" s="2" t="s">
        <v>6</v>
      </c>
      <c r="D9" s="2" t="s">
        <v>80</v>
      </c>
      <c r="E9" s="2" t="s">
        <v>108</v>
      </c>
    </row>
    <row r="10" spans="2:6" x14ac:dyDescent="0.35">
      <c r="B10" s="2" t="s">
        <v>33</v>
      </c>
      <c r="C10" s="2" t="s">
        <v>7</v>
      </c>
      <c r="D10" s="2" t="s">
        <v>55</v>
      </c>
      <c r="E10" s="2" t="s">
        <v>109</v>
      </c>
    </row>
    <row r="11" spans="2:6" x14ac:dyDescent="0.35">
      <c r="B11" s="2" t="s">
        <v>14</v>
      </c>
      <c r="C11" s="2" t="s">
        <v>74</v>
      </c>
      <c r="D11" s="2" t="s">
        <v>81</v>
      </c>
      <c r="E11" s="2" t="s">
        <v>44</v>
      </c>
    </row>
    <row r="12" spans="2:6" x14ac:dyDescent="0.35">
      <c r="B12" s="2" t="s">
        <v>15</v>
      </c>
      <c r="C12" s="2" t="s">
        <v>8</v>
      </c>
      <c r="D12" s="2" t="s">
        <v>82</v>
      </c>
      <c r="E12" s="2" t="s">
        <v>48</v>
      </c>
    </row>
    <row r="13" spans="2:6" x14ac:dyDescent="0.35">
      <c r="B13" s="2" t="s">
        <v>72</v>
      </c>
      <c r="C13" s="2" t="s">
        <v>9</v>
      </c>
      <c r="D13" s="2" t="s">
        <v>83</v>
      </c>
      <c r="E13" s="2" t="s">
        <v>41</v>
      </c>
    </row>
    <row r="14" spans="2:6" x14ac:dyDescent="0.35">
      <c r="B14" s="2" t="s">
        <v>24</v>
      </c>
      <c r="C14" s="2" t="s">
        <v>10</v>
      </c>
      <c r="D14" s="2" t="s">
        <v>84</v>
      </c>
      <c r="E14" s="2" t="s">
        <v>110</v>
      </c>
    </row>
    <row r="15" spans="2:6" x14ac:dyDescent="0.35">
      <c r="B15" s="2" t="s">
        <v>17</v>
      </c>
      <c r="C15" s="2" t="s">
        <v>11</v>
      </c>
      <c r="D15" s="2" t="s">
        <v>85</v>
      </c>
      <c r="E15" s="2" t="s">
        <v>111</v>
      </c>
    </row>
    <row r="16" spans="2:6" x14ac:dyDescent="0.35">
      <c r="B16" s="2" t="s">
        <v>34</v>
      </c>
      <c r="C16" s="2" t="s">
        <v>64</v>
      </c>
      <c r="D16" s="3" t="s">
        <v>86</v>
      </c>
      <c r="E16" s="2" t="s">
        <v>112</v>
      </c>
    </row>
    <row r="17" spans="2:5" x14ac:dyDescent="0.35">
      <c r="B17" s="2" t="s">
        <v>22</v>
      </c>
      <c r="C17" s="2" t="s">
        <v>68</v>
      </c>
      <c r="D17" s="2" t="s">
        <v>87</v>
      </c>
      <c r="E17" s="2" t="s">
        <v>42</v>
      </c>
    </row>
    <row r="18" spans="2:5" x14ac:dyDescent="0.35">
      <c r="B18" s="2" t="s">
        <v>18</v>
      </c>
      <c r="C18" s="2" t="s">
        <v>65</v>
      </c>
      <c r="D18" s="2" t="s">
        <v>88</v>
      </c>
      <c r="E18" s="2" t="s">
        <v>113</v>
      </c>
    </row>
    <row r="19" spans="2:5" x14ac:dyDescent="0.35">
      <c r="B19" s="2" t="s">
        <v>19</v>
      </c>
      <c r="C19" s="2" t="s">
        <v>66</v>
      </c>
      <c r="D19" s="2" t="s">
        <v>89</v>
      </c>
      <c r="E19" s="2" t="s">
        <v>114</v>
      </c>
    </row>
    <row r="20" spans="2:5" x14ac:dyDescent="0.35">
      <c r="B20" s="2" t="s">
        <v>20</v>
      </c>
      <c r="C20" s="2" t="s">
        <v>67</v>
      </c>
      <c r="D20" s="2" t="s">
        <v>90</v>
      </c>
      <c r="E20" s="2" t="s">
        <v>115</v>
      </c>
    </row>
    <row r="21" spans="2:5" x14ac:dyDescent="0.35">
      <c r="B21" s="2" t="s">
        <v>0</v>
      </c>
      <c r="C21" s="2" t="s">
        <v>69</v>
      </c>
      <c r="D21" s="2" t="s">
        <v>91</v>
      </c>
      <c r="E21" s="2" t="s">
        <v>47</v>
      </c>
    </row>
    <row r="22" spans="2:5" x14ac:dyDescent="0.35">
      <c r="B22" s="2" t="s">
        <v>21</v>
      </c>
      <c r="C22" s="2" t="s">
        <v>70</v>
      </c>
      <c r="D22" s="2" t="s">
        <v>92</v>
      </c>
      <c r="E22" s="2" t="s">
        <v>116</v>
      </c>
    </row>
    <row r="23" spans="2:5" x14ac:dyDescent="0.35">
      <c r="B23" s="2" t="s">
        <v>35</v>
      </c>
      <c r="C23" s="2" t="s">
        <v>103</v>
      </c>
      <c r="D23" s="2" t="s">
        <v>93</v>
      </c>
      <c r="E23" s="2" t="s">
        <v>117</v>
      </c>
    </row>
    <row r="24" spans="2:5" x14ac:dyDescent="0.35">
      <c r="B24" s="2" t="s">
        <v>25</v>
      </c>
      <c r="C24" s="2"/>
      <c r="D24" s="2" t="s">
        <v>58</v>
      </c>
      <c r="E24" s="2" t="s">
        <v>45</v>
      </c>
    </row>
    <row r="25" spans="2:5" x14ac:dyDescent="0.35">
      <c r="B25" s="2" t="s">
        <v>26</v>
      </c>
      <c r="C25" s="2"/>
      <c r="D25" s="2" t="s">
        <v>94</v>
      </c>
      <c r="E25" s="2" t="s">
        <v>118</v>
      </c>
    </row>
    <row r="26" spans="2:5" x14ac:dyDescent="0.35">
      <c r="B26" s="2" t="s">
        <v>14</v>
      </c>
      <c r="C26" s="2"/>
      <c r="D26" s="2" t="s">
        <v>60</v>
      </c>
      <c r="E26" s="2" t="s">
        <v>119</v>
      </c>
    </row>
    <row r="27" spans="2:5" x14ac:dyDescent="0.35">
      <c r="B27" s="2" t="s">
        <v>36</v>
      </c>
      <c r="C27" s="2"/>
      <c r="D27" s="2" t="s">
        <v>61</v>
      </c>
      <c r="E27" s="2" t="s">
        <v>120</v>
      </c>
    </row>
    <row r="28" spans="2:5" x14ac:dyDescent="0.35">
      <c r="B28" s="2" t="s">
        <v>37</v>
      </c>
      <c r="C28" s="2"/>
      <c r="D28" s="2" t="s">
        <v>95</v>
      </c>
      <c r="E28" s="2" t="s">
        <v>121</v>
      </c>
    </row>
    <row r="29" spans="2:5" x14ac:dyDescent="0.35">
      <c r="B29" s="2" t="s">
        <v>28</v>
      </c>
      <c r="C29" s="2"/>
      <c r="D29" s="2" t="s">
        <v>96</v>
      </c>
      <c r="E29" s="2" t="s">
        <v>52</v>
      </c>
    </row>
    <row r="30" spans="2:5" x14ac:dyDescent="0.35">
      <c r="B30" s="2" t="s">
        <v>51</v>
      </c>
      <c r="C30" s="2"/>
      <c r="D30" s="2" t="s">
        <v>97</v>
      </c>
      <c r="E30" s="2" t="s">
        <v>122</v>
      </c>
    </row>
    <row r="31" spans="2:5" x14ac:dyDescent="0.35">
      <c r="B31" s="2" t="s">
        <v>38</v>
      </c>
      <c r="C31" s="2"/>
      <c r="D31" s="2" t="s">
        <v>82</v>
      </c>
      <c r="E31" s="2" t="s">
        <v>123</v>
      </c>
    </row>
    <row r="32" spans="2:5" x14ac:dyDescent="0.35">
      <c r="B32" s="2" t="s">
        <v>39</v>
      </c>
      <c r="C32" s="2"/>
      <c r="D32" s="2" t="s">
        <v>98</v>
      </c>
      <c r="E32" s="2"/>
    </row>
    <row r="33" spans="2:4" x14ac:dyDescent="0.35">
      <c r="B33" s="2" t="s">
        <v>40</v>
      </c>
      <c r="C33" s="2"/>
      <c r="D33" s="2" t="s">
        <v>99</v>
      </c>
    </row>
    <row r="34" spans="2:4" x14ac:dyDescent="0.35">
      <c r="B34" s="2" t="s">
        <v>41</v>
      </c>
      <c r="C34" s="2"/>
      <c r="D34" s="2" t="s">
        <v>100</v>
      </c>
    </row>
    <row r="35" spans="2:4" x14ac:dyDescent="0.35">
      <c r="B35" s="2" t="s">
        <v>42</v>
      </c>
      <c r="C35" s="2"/>
      <c r="D35" s="2" t="s">
        <v>78</v>
      </c>
    </row>
    <row r="36" spans="2:4" x14ac:dyDescent="0.35">
      <c r="B36" s="2" t="s">
        <v>43</v>
      </c>
      <c r="C36" s="2"/>
      <c r="D36" s="2" t="s">
        <v>101</v>
      </c>
    </row>
    <row r="37" spans="2:4" x14ac:dyDescent="0.35">
      <c r="B37" s="2" t="s">
        <v>44</v>
      </c>
      <c r="C37" s="2"/>
      <c r="D37" s="2" t="s">
        <v>102</v>
      </c>
    </row>
    <row r="38" spans="2:4" x14ac:dyDescent="0.35">
      <c r="B38" s="2" t="s">
        <v>45</v>
      </c>
      <c r="C38" s="2"/>
    </row>
    <row r="39" spans="2:4" x14ac:dyDescent="0.35">
      <c r="B39" s="2" t="s">
        <v>46</v>
      </c>
      <c r="C39" s="2"/>
    </row>
    <row r="40" spans="2:4" x14ac:dyDescent="0.35">
      <c r="B40" s="2" t="s">
        <v>47</v>
      </c>
      <c r="C40" s="2"/>
    </row>
    <row r="41" spans="2:4" x14ac:dyDescent="0.35">
      <c r="B41" s="2" t="s">
        <v>48</v>
      </c>
      <c r="C41" s="2"/>
    </row>
    <row r="42" spans="2:4" x14ac:dyDescent="0.35">
      <c r="B42" s="2" t="s">
        <v>49</v>
      </c>
      <c r="C42" s="2"/>
    </row>
    <row r="43" spans="2:4" x14ac:dyDescent="0.35">
      <c r="B43" s="2" t="s">
        <v>50</v>
      </c>
      <c r="C43" s="2"/>
    </row>
    <row r="44" spans="2:4" x14ac:dyDescent="0.35">
      <c r="B44" s="2" t="s">
        <v>52</v>
      </c>
      <c r="C44" s="2"/>
    </row>
    <row r="45" spans="2:4" x14ac:dyDescent="0.35">
      <c r="B45" s="2" t="s">
        <v>53</v>
      </c>
      <c r="C45" s="2"/>
    </row>
    <row r="46" spans="2:4" x14ac:dyDescent="0.35">
      <c r="B46" s="2" t="s">
        <v>55</v>
      </c>
      <c r="C46" s="2"/>
    </row>
    <row r="47" spans="2:4" x14ac:dyDescent="0.35">
      <c r="B47" s="2" t="s">
        <v>54</v>
      </c>
      <c r="C47" s="2"/>
    </row>
    <row r="48" spans="2:4" x14ac:dyDescent="0.35">
      <c r="B48" s="2" t="s">
        <v>56</v>
      </c>
      <c r="C48" s="2"/>
    </row>
    <row r="49" spans="2:3" x14ac:dyDescent="0.35">
      <c r="B49" s="2" t="s">
        <v>57</v>
      </c>
      <c r="C49" s="2"/>
    </row>
    <row r="50" spans="2:3" x14ac:dyDescent="0.35">
      <c r="B50" s="2" t="s">
        <v>27</v>
      </c>
      <c r="C50" s="2"/>
    </row>
    <row r="51" spans="2:3" x14ac:dyDescent="0.35">
      <c r="B51" s="2" t="s">
        <v>58</v>
      </c>
      <c r="C51" s="2"/>
    </row>
    <row r="52" spans="2:3" x14ac:dyDescent="0.35">
      <c r="B52" s="2" t="s">
        <v>59</v>
      </c>
      <c r="C52" s="2"/>
    </row>
    <row r="53" spans="2:3" x14ac:dyDescent="0.35">
      <c r="B53" s="2" t="s">
        <v>60</v>
      </c>
      <c r="C53" s="2"/>
    </row>
    <row r="54" spans="2:3" x14ac:dyDescent="0.35">
      <c r="B54" s="2" t="s">
        <v>61</v>
      </c>
      <c r="C54" s="2"/>
    </row>
    <row r="55" spans="2:3" x14ac:dyDescent="0.35">
      <c r="B55" s="2" t="s">
        <v>62</v>
      </c>
      <c r="C55" s="2"/>
    </row>
    <row r="56" spans="2:3" x14ac:dyDescent="0.35">
      <c r="B56" s="2" t="s">
        <v>63</v>
      </c>
      <c r="C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FILL IN</vt:lpstr>
      <vt:lpstr>planning</vt:lpstr>
      <vt:lpstr>Revised Volume</vt:lpstr>
      <vt:lpstr>Name SPLIT</vt:lpstr>
      <vt:lpstr>Sheet1</vt:lpstr>
      <vt:lpstr>By Region</vt:lpstr>
      <vt:lpstr>By RDC</vt:lpstr>
      <vt:lpstr>General and Northern Names </vt:lpstr>
    </vt:vector>
  </TitlesOfParts>
  <Company>PZ Cussons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 Asomugha</dc:creator>
  <cp:lastModifiedBy>NigeriaCommercialCapability NigeriaCommercialCapabilit</cp:lastModifiedBy>
  <dcterms:created xsi:type="dcterms:W3CDTF">2024-09-30T13:55:58Z</dcterms:created>
  <dcterms:modified xsi:type="dcterms:W3CDTF">2025-01-02T11:48:39Z</dcterms:modified>
</cp:coreProperties>
</file>